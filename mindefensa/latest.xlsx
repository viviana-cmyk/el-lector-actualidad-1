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Z:\GIE\ADMINISTRATIVO 2026\56.26 Estadísticas de Seguridad y Defensa\INDICADORES DE SEGURIDAD\"/>
    </mc:Choice>
  </mc:AlternateContent>
  <xr:revisionPtr revIDLastSave="0" documentId="13_ncr:1_{CD086F58-9983-45E4-8A27-717FE2C88C70}" xr6:coauthVersionLast="47" xr6:coauthVersionMax="47" xr10:uidLastSave="{00000000-0000-0000-0000-000000000000}"/>
  <bookViews>
    <workbookView xWindow="-120" yWindow="-120" windowWidth="29040" windowHeight="15720" xr2:uid="{37409D55-3132-4155-AACD-D63A6FD033F8}"/>
  </bookViews>
  <sheets>
    <sheet name="Año corrido" sheetId="1" r:id="rId1"/>
    <sheet name="Año corrido tasa" sheetId="2" r:id="rId2"/>
    <sheet name="Año completo" sheetId="3" r:id="rId3"/>
    <sheet name="Año completo tasa" sheetId="4" r:id="rId4"/>
    <sheet name="METODOLOGÍA A DENUNCIAR" sheetId="5" r:id="rId5"/>
    <sheet name="NUEVA METODOLOGIA FGN" sheetId="6" r:id="rId6"/>
    <sheet name="ACLARACIONES METODOLÓGICAS" sheetId="7" r:id="rId7"/>
  </sheets>
  <externalReferences>
    <externalReference r:id="rId8"/>
    <externalReference r:id="rId9"/>
    <externalReference r:id="rId10"/>
    <externalReference r:id="rId11"/>
  </externalReferences>
  <definedNames>
    <definedName name="_xlnm._FilterDatabase" localSheetId="0" hidden="1">'Año corrido'!$B$1:$Z$42</definedName>
    <definedName name="AMAZONAS">#REF!</definedName>
    <definedName name="ANTIOQUIA">#REF!</definedName>
    <definedName name="AÑOS">#REF!</definedName>
    <definedName name="ARAUCA">#REF!</definedName>
    <definedName name="_xlnm.Print_Area" localSheetId="6">'ACLARACIONES METODOLÓGICAS'!$A$1:$N$36</definedName>
    <definedName name="_xlnm.Print_Area" localSheetId="2">'Año completo'!$A$1:$Y$110</definedName>
    <definedName name="_xlnm.Print_Area" localSheetId="3">'Año completo tasa'!$A$1:$Y$29</definedName>
    <definedName name="_xlnm.Print_Area" localSheetId="0">'Año corrido'!$A$1:$Z$106</definedName>
    <definedName name="_xlnm.Print_Area" localSheetId="1">'Año corrido tasa'!$A$1:$Z$29</definedName>
    <definedName name="_xlnm.Print_Area" localSheetId="4">'METODOLOGÍA A DENUNCIAR'!$A$1:$N$37</definedName>
    <definedName name="_xlnm.Print_Area" localSheetId="5">'NUEVA METODOLOGIA FGN'!$A$1:$N$36</definedName>
    <definedName name="ATLÁNTICO">#REF!</definedName>
    <definedName name="BOGOTÁ">#REF!</definedName>
    <definedName name="BOLÍVAR">#REF!</definedName>
    <definedName name="BOYACÁ">#REF!</definedName>
    <definedName name="BRIGADA">#REF!</definedName>
    <definedName name="CALDAS">#REF!</definedName>
    <definedName name="CAQUETÁ">#REF!</definedName>
    <definedName name="CASANARE">#REF!</definedName>
    <definedName name="CAUCA">#REF!</definedName>
    <definedName name="CESAR">#REF!</definedName>
    <definedName name="CHOCÓ">#REF!</definedName>
    <definedName name="COD_DEPTO">#REF!</definedName>
    <definedName name="CÓRDOBA">#REF!</definedName>
    <definedName name="CUNDINAMARCA">#REF!</definedName>
    <definedName name="DEPARTAMENTO">#REF!</definedName>
    <definedName name="DEPARTAMENTO2">#REF!</definedName>
    <definedName name="departamentos">[1]Listas!$P$2:$P$35</definedName>
    <definedName name="deplista">#REF!</definedName>
    <definedName name="depto2">#REF!</definedName>
    <definedName name="DEPTOS">[2]Listas!$I$2:$I$35</definedName>
    <definedName name="DIV">#REF!</definedName>
    <definedName name="elmes">[3]Fechas!$I$2:$J$13</definedName>
    <definedName name="ENEMIGO">#REF!</definedName>
    <definedName name="ert" localSheetId="2">'Año completo'!$A$1:$S$109</definedName>
    <definedName name="ert" localSheetId="3">'Año completo tasa'!$A$1:$S$29</definedName>
    <definedName name="ert" localSheetId="0">'Año corrido'!$A$1:$S$110</definedName>
    <definedName name="ert" localSheetId="1">'Año corrido tasa'!$A$1:$S$29</definedName>
    <definedName name="FUERZA_DE_TAREA">#REF!</definedName>
    <definedName name="GUAINÍA">#REF!</definedName>
    <definedName name="GUAVIARE">#REF!</definedName>
    <definedName name="HUILA">#REF!</definedName>
    <definedName name="HURTOPERSONAS">#REF!</definedName>
    <definedName name="LA_GUAJIRA">#REF!</definedName>
    <definedName name="MAGDALENA">#REF!</definedName>
    <definedName name="MES">#REF!</definedName>
    <definedName name="META">#REF!</definedName>
    <definedName name="METROPOLITANA">#REF!</definedName>
    <definedName name="MPIO_MAX">[2]viculos!$A$75:$CR$1501</definedName>
    <definedName name="MUN200MAX">[2]viculos!$D$2:$CR$907</definedName>
    <definedName name="NACIONAL">#REF!</definedName>
    <definedName name="NARIÑO">#REF!</definedName>
    <definedName name="NORTE_DE_SANTANDER">#REF!</definedName>
    <definedName name="Print_Area" localSheetId="2">'Año completo'!$A$1:$S$107</definedName>
    <definedName name="Print_Area" localSheetId="3">'Año completo tasa'!$A$1:$S$29</definedName>
    <definedName name="Print_Area" localSheetId="0">'Año corrido'!$A$1:$S$108</definedName>
    <definedName name="Print_Area" localSheetId="1">'Año corrido tasa'!$A$1:$S$29</definedName>
    <definedName name="printr" localSheetId="2">'Año completo'!$A$1:$S$108</definedName>
    <definedName name="printr" localSheetId="3">'Año completo tasa'!$A$1:$S$29</definedName>
    <definedName name="printr" localSheetId="0">'Año corrido'!$A$1:$S$109</definedName>
    <definedName name="printr" localSheetId="1">'Año corrido tasa'!$A$1:$S$29</definedName>
    <definedName name="PUTUMAYO">#REF!</definedName>
    <definedName name="QUINDÍO">#REF!</definedName>
    <definedName name="RISARALDA">#REF!</definedName>
    <definedName name="SAN_ANDRÉS_ISLAS">#REF!</definedName>
    <definedName name="SANTANDER">#REF!</definedName>
    <definedName name="SUCRE">#REF!</definedName>
    <definedName name="TOLIMA">#REF!</definedName>
    <definedName name="UNIDAD">#REF!</definedName>
    <definedName name="VALLE_DEL_CAUCA">#REF!</definedName>
    <definedName name="VAUPÉS">#REF!</definedName>
    <definedName name="VICHAD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Z6" i="1" l="1" a="1"/>
  <c r="Z6" i="1" s="1"/>
  <c r="Y6" i="1" a="1"/>
  <c r="Y6" i="1" s="1"/>
  <c r="X6" i="1" a="1"/>
  <c r="X6" i="1" s="1"/>
  <c r="W6" i="1" a="1"/>
  <c r="W6" i="1" s="1"/>
  <c r="V6" i="1" a="1"/>
  <c r="V6" i="1" s="1"/>
  <c r="U6" i="1" a="1"/>
  <c r="U6" i="1" s="1"/>
  <c r="T6" i="1" a="1"/>
  <c r="T6" i="1" s="1"/>
  <c r="S6" i="1" a="1"/>
  <c r="S6" i="1" s="1"/>
  <c r="R6" i="1" a="1"/>
  <c r="R6" i="1" s="1"/>
  <c r="Q6" i="1" a="1"/>
  <c r="Q6" i="1" s="1"/>
  <c r="P6" i="1" a="1"/>
  <c r="P6" i="1" s="1"/>
  <c r="O6" i="1" a="1"/>
  <c r="O6" i="1" s="1"/>
  <c r="N6" i="1" a="1"/>
  <c r="N6" i="1" s="1"/>
  <c r="M6" i="1" a="1"/>
  <c r="M6" i="1" s="1"/>
  <c r="L6" i="1" a="1"/>
  <c r="L6" i="1" s="1"/>
  <c r="K6" i="1" a="1"/>
  <c r="K6" i="1" s="1"/>
  <c r="J6" i="1" a="1"/>
  <c r="J6" i="1" s="1"/>
  <c r="I6" i="1" a="1"/>
  <c r="I6" i="1" s="1"/>
  <c r="H6" i="1" a="1"/>
  <c r="H6" i="1" s="1"/>
  <c r="G6" i="1" a="1"/>
  <c r="G6" i="1" s="1"/>
  <c r="F6" i="1" a="1"/>
  <c r="F6" i="1" s="1"/>
  <c r="E6" i="1" a="1"/>
  <c r="E6" i="1"/>
  <c r="D6" i="1" a="1"/>
  <c r="D6" i="1" s="1"/>
  <c r="C6" i="1" a="1"/>
  <c r="C6"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<sst xmlns="http://schemas.openxmlformats.org/spreadsheetml/2006/main" count="729" uniqueCount="138">
  <si>
    <t>MINISTERIO DE DEFENSA NACIONAL</t>
  </si>
  <si>
    <t>VICEMINISTERIO PARA LAS POLÍTICAS DE DEFENSA Y SEGURIDAD</t>
  </si>
  <si>
    <t>Información de criminalidad, resultados operacionales y delitos contra las propias tropas</t>
  </si>
  <si>
    <t>Año corrido</t>
  </si>
  <si>
    <t>Criminalidad y violencia</t>
  </si>
  <si>
    <t>Delitos contra la vida y la integridad personal</t>
  </si>
  <si>
    <t>Homicidio intencional</t>
  </si>
  <si>
    <t>Homicidio en accidentes de tránsito</t>
  </si>
  <si>
    <t>Masacres (casos)</t>
  </si>
  <si>
    <t>Masacres (víctimas)</t>
  </si>
  <si>
    <t>Lesión personal</t>
  </si>
  <si>
    <t>Lesión personal en accidente de tránsito</t>
  </si>
  <si>
    <t>Delitos contra la libertad individual y otras garantías constitucionales</t>
  </si>
  <si>
    <t>Trata de personas</t>
  </si>
  <si>
    <t>Tráfico de migrantes</t>
  </si>
  <si>
    <t>Secuestro total (víctimas)</t>
  </si>
  <si>
    <t>Secuestro total (casos)</t>
  </si>
  <si>
    <t>Secuestro extorsivo</t>
  </si>
  <si>
    <t>Secuestro simple</t>
  </si>
  <si>
    <t>Rescate de secuestrados</t>
  </si>
  <si>
    <t>Delitos contra la libertad, integridad y formación sexuales</t>
  </si>
  <si>
    <t>Delitos sexuales</t>
  </si>
  <si>
    <t>Delitos contra el patrimonio económico</t>
  </si>
  <si>
    <t>Hurto a residencias</t>
  </si>
  <si>
    <t>Hurto a comercios</t>
  </si>
  <si>
    <t>Hurto a personas</t>
  </si>
  <si>
    <t>Hurto a entidades financieras</t>
  </si>
  <si>
    <t>Piratería terrestre</t>
  </si>
  <si>
    <t>Abigeato</t>
  </si>
  <si>
    <t>Extorsión</t>
  </si>
  <si>
    <t>Hurto de vehículos</t>
  </si>
  <si>
    <t>Hurto automotores</t>
  </si>
  <si>
    <t>Hurto de motocicletas</t>
  </si>
  <si>
    <t>Invasión de tierras</t>
  </si>
  <si>
    <t>Invasión de tierra o edificaciones</t>
  </si>
  <si>
    <t>Usurpación de tierras</t>
  </si>
  <si>
    <t>Delitos contra la familia</t>
  </si>
  <si>
    <t>Violencia intrafamiliar</t>
  </si>
  <si>
    <t>Delitos contra la protección de la información y de los datos</t>
  </si>
  <si>
    <t>Delitos informáticos</t>
  </si>
  <si>
    <t>Delitos contra los recursos naturales y el medio ambiente</t>
  </si>
  <si>
    <t>Delitos contra los recursos naturales y medio ambiente</t>
  </si>
  <si>
    <r>
      <rPr>
        <b/>
        <sz val="10"/>
        <color theme="1" tint="0.34998626667073579"/>
        <rFont val="Calibri"/>
        <family val="2"/>
        <scheme val="minor"/>
      </rPr>
      <t>Fuente:</t>
    </r>
    <r>
      <rPr>
        <sz val="10"/>
        <color theme="1" tint="0.34998626667073579"/>
        <rFont val="Calibri"/>
        <family val="2"/>
        <scheme val="minor"/>
      </rPr>
      <t xml:space="preserve"> Comando General de las Fuerzas Militares, Policía Nacional, Ministerio de Defensa Nacional, Grupo de Atención Humanitaria al Desmovilizado y Ecopetrol.</t>
    </r>
  </si>
  <si>
    <t>*Cifras preliminares, sujetas a variación.</t>
  </si>
  <si>
    <t>Delitos contra la seguridad pública</t>
  </si>
  <si>
    <t>Terrorismo</t>
  </si>
  <si>
    <t>Actos de terrorismo (Art. 144)</t>
  </si>
  <si>
    <t>Terrorismo (Art. 343)</t>
  </si>
  <si>
    <t>Apoderamiento de hidrocarburos</t>
  </si>
  <si>
    <t>Atentados contra la infraestructura crítica</t>
  </si>
  <si>
    <t>Voladura de oleoductos</t>
  </si>
  <si>
    <t>Voladura de vías</t>
  </si>
  <si>
    <t>Voladura de puentes</t>
  </si>
  <si>
    <t>Afectación Fuerza Pública</t>
  </si>
  <si>
    <t>Fuerza y tipo de afectación</t>
  </si>
  <si>
    <t>Asesinados Fuerza Pública</t>
  </si>
  <si>
    <t>Asesinados Fuerzas Militares</t>
  </si>
  <si>
    <t>Asesinados Policía Nacional</t>
  </si>
  <si>
    <t>Heridos Fuerza Pública</t>
  </si>
  <si>
    <t>Heridos Fuerzas Militares</t>
  </si>
  <si>
    <t>Heridos Policía Nacional</t>
  </si>
  <si>
    <t>Desmovilización individual y sometimiento individual</t>
  </si>
  <si>
    <t>Desmovilizados ELN (mayores de edad)</t>
  </si>
  <si>
    <t>Desvinculación de menores de edad</t>
  </si>
  <si>
    <t>Sometimiento</t>
  </si>
  <si>
    <t xml:space="preserve"> </t>
  </si>
  <si>
    <t>Sometidos Caparros</t>
  </si>
  <si>
    <t>Sometidos GAO Clan del Golfo</t>
  </si>
  <si>
    <t>Sometidos GAOR</t>
  </si>
  <si>
    <t>Sometidos Pelusos</t>
  </si>
  <si>
    <t>Resultados operacionales</t>
  </si>
  <si>
    <t>Avances en la lucha contra el problema mundial de las drogas</t>
  </si>
  <si>
    <t>Embarcaciones incautadas</t>
  </si>
  <si>
    <t>Aeronaves incautadas</t>
  </si>
  <si>
    <t>Cocaína incautada (kg.)</t>
  </si>
  <si>
    <t>Heroína incautada (kg.)</t>
  </si>
  <si>
    <t>Hoja de coca incautada (kg.)</t>
  </si>
  <si>
    <t>Pasta y base de coca incautada (kg.)</t>
  </si>
  <si>
    <t>Basuco incautado (kg.)</t>
  </si>
  <si>
    <t>Marihuana incautada (kg.)</t>
  </si>
  <si>
    <t>Aspersión de coca (hectáreas)</t>
  </si>
  <si>
    <t>Erradicación manual de coca (hectáreas)</t>
  </si>
  <si>
    <t>Infraestructura de producción de drogas ilícitas destruida (und)</t>
  </si>
  <si>
    <t>Pistas destruidas</t>
  </si>
  <si>
    <t>Insumos líquidos incautados (gls.)</t>
  </si>
  <si>
    <t>Insumos sólidos incautados (kg.)</t>
  </si>
  <si>
    <t>Resultados contra la extracción ilícita de minerales</t>
  </si>
  <si>
    <t>Capturas (Per)</t>
  </si>
  <si>
    <t>Minas ilegales intervenidas (Und)</t>
  </si>
  <si>
    <t>Incautaciones por extracción ilícita de minerales</t>
  </si>
  <si>
    <t>Maquinaria Amarilla (Retroexcavadoras y Buldócer) (Und)</t>
  </si>
  <si>
    <t>Otra  Maquinaria (Draga, Clasificadora, Mezcladora y Trituradora) (Und)</t>
  </si>
  <si>
    <t>Incautaciones de Minerales</t>
  </si>
  <si>
    <t>Incautación de Mercurio (Kg)</t>
  </si>
  <si>
    <t>Incautación de Oro (Kg)</t>
  </si>
  <si>
    <r>
      <rPr>
        <b/>
        <sz val="10"/>
        <color theme="1" tint="0.34998626667073579"/>
        <rFont val="Calibri"/>
        <family val="2"/>
        <scheme val="minor"/>
      </rPr>
      <t xml:space="preserve">Fuente: </t>
    </r>
    <r>
      <rPr>
        <sz val="10"/>
        <color theme="1" tint="0.34998626667073579"/>
        <rFont val="Calibri"/>
        <family val="2"/>
        <scheme val="minor"/>
      </rPr>
      <t>Comando General de las Fuerzas Militares, Policía Nacional, Ministerio de Defensa Nacional, Grupo de Atención Humanitaria al Desmovilizado y Ecopetrol.</t>
    </r>
  </si>
  <si>
    <t>Año corrido tasa por 100 mil habitantes</t>
  </si>
  <si>
    <t>Secuestro total</t>
  </si>
  <si>
    <r>
      <rPr>
        <b/>
        <sz val="10"/>
        <color theme="1" tint="0.34998626667073579"/>
        <rFont val="Calibri"/>
        <family val="2"/>
        <scheme val="minor"/>
      </rPr>
      <t>Fuente:</t>
    </r>
    <r>
      <rPr>
        <sz val="10"/>
        <color theme="1" tint="0.34998626667073579"/>
        <rFont val="Calibri"/>
        <family val="2"/>
        <scheme val="minor"/>
      </rPr>
      <t xml:space="preserve"> Policía Nacional y Ministerio de Defensa Nacional.
Se toma las proyecciones y retroproyecciones de población del último censo del DANE.</t>
    </r>
  </si>
  <si>
    <t>Año completo</t>
  </si>
  <si>
    <t>Desmovilizados ELN</t>
  </si>
  <si>
    <t>Pistas destruidas (Und)</t>
  </si>
  <si>
    <t>Año completo tasa por 100 mil habitantes</t>
  </si>
  <si>
    <t>Aclaración metodológica proceso estadístico para los delitos de:</t>
  </si>
  <si>
    <r>
      <t xml:space="preserve"> Hurto común</t>
    </r>
    <r>
      <rPr>
        <b/>
        <vertAlign val="superscript"/>
        <sz val="13"/>
        <color rgb="FF666666"/>
        <rFont val="Calibri"/>
        <family val="2"/>
        <scheme val="minor"/>
      </rPr>
      <t>1</t>
    </r>
    <r>
      <rPr>
        <b/>
        <sz val="13"/>
        <color rgb="FF666666"/>
        <rFont val="Calibri"/>
        <family val="2"/>
        <scheme val="minor"/>
      </rPr>
      <t>, hurto de vehículos</t>
    </r>
    <r>
      <rPr>
        <b/>
        <vertAlign val="superscript"/>
        <sz val="13"/>
        <color rgb="FF666666"/>
        <rFont val="Calibri"/>
        <family val="2"/>
        <scheme val="minor"/>
      </rPr>
      <t>2</t>
    </r>
    <r>
      <rPr>
        <b/>
        <sz val="13"/>
        <color rgb="FF666666"/>
        <rFont val="Calibri"/>
        <family val="2"/>
        <scheme val="minor"/>
      </rPr>
      <t xml:space="preserve">, hurto a entidades financieras, piratería terrestre y extorsión.  
</t>
    </r>
  </si>
  <si>
    <r>
      <t xml:space="preserve">Durante el 2016 y 2017, la Policía Nacional y la Fiscalía General  de la Nación realizaron dos importantes actualizaciones en sus sistemas de información:
</t>
    </r>
    <r>
      <rPr>
        <sz val="11"/>
        <color rgb="FF658BF7"/>
        <rFont val="Calibri"/>
        <family val="2"/>
        <scheme val="minor"/>
      </rPr>
      <t xml:space="preserve">1) </t>
    </r>
    <r>
      <rPr>
        <sz val="11"/>
        <rFont val="Calibri"/>
        <family val="2"/>
        <scheme val="minor"/>
      </rPr>
      <t xml:space="preserve">En el marco del plan de acción “Fortalecimiento de la cooperación entre las instituciones – Hoja de ruta contra el crimen y potenciación de la investigación Criminal”, se inició el proceso de verificación y actualización de la información estadística registrada desde el año 2016. Para esto, se establecieron mesas de trabajo para la unificación de criterios en la definición de los delitos y para la verificación y consolidación de la información. Adicionalmente, se desarrolló el sistema de cargue de información de los registros de denuncias por conocimiento de la Fiscalía al sistema de información de la Policía Nacional.
</t>
    </r>
    <r>
      <rPr>
        <sz val="11"/>
        <color rgb="FF658BF7"/>
        <rFont val="Calibri"/>
        <family val="2"/>
        <scheme val="minor"/>
      </rPr>
      <t>2)</t>
    </r>
    <r>
      <rPr>
        <sz val="11"/>
        <rFont val="Calibri"/>
        <family val="2"/>
        <scheme val="minor"/>
      </rPr>
      <t xml:space="preserve"> El 26 de julio de 2017, se habilitó el aplicativo !A Denunciar! que permite a los ciudadanos presentar denuncias de manera electrónica, haciéndolo más ágil y descongestionando el sistema de denuncia presencial. 
</t>
    </r>
  </si>
  <si>
    <t xml:space="preserve">Estas actualizaciones generaron variaciones significativas en los niveles históricos de las series de los delitos de hurto común, hurto de vehículos, hurto a entidades financieras, piratería terrestre y extorsión.
</t>
  </si>
  <si>
    <r>
      <rPr>
        <vertAlign val="superscript"/>
        <sz val="11"/>
        <color theme="1"/>
        <rFont val="Calibri"/>
        <family val="2"/>
        <scheme val="minor"/>
      </rPr>
      <t>1</t>
    </r>
    <r>
      <rPr>
        <b/>
        <sz val="11"/>
        <color theme="1"/>
        <rFont val="Calibri"/>
        <family val="2"/>
        <scheme val="minor"/>
      </rPr>
      <t xml:space="preserve"> Hurto común:</t>
    </r>
    <r>
      <rPr>
        <sz val="11"/>
        <color theme="1"/>
        <rFont val="Calibri"/>
        <family val="2"/>
        <scheme val="minor"/>
      </rPr>
      <t xml:space="preserve"> Incluye los delitos de hurto a personas, hurto a comercio y hurto a residencias.
</t>
    </r>
  </si>
  <si>
    <r>
      <rPr>
        <vertAlign val="superscript"/>
        <sz val="11"/>
        <color theme="1"/>
        <rFont val="Calibri"/>
        <family val="2"/>
        <scheme val="minor"/>
      </rPr>
      <t>2</t>
    </r>
    <r>
      <rPr>
        <sz val="11"/>
        <color theme="1"/>
        <rFont val="Calibri"/>
        <family val="2"/>
        <scheme val="minor"/>
      </rPr>
      <t xml:space="preserve"> </t>
    </r>
    <r>
      <rPr>
        <b/>
        <sz val="11"/>
        <color theme="1"/>
        <rFont val="Calibri"/>
        <family val="2"/>
        <scheme val="minor"/>
      </rPr>
      <t>Hurto de vehículos:</t>
    </r>
    <r>
      <rPr>
        <sz val="11"/>
        <color theme="1"/>
        <rFont val="Calibri"/>
        <family val="2"/>
        <scheme val="minor"/>
      </rPr>
      <t xml:space="preserve"> Incluye los delios de hurto de automotores y hurto de motocicletas.</t>
    </r>
  </si>
  <si>
    <t>Aclaración metodológica proceso estadístico para todos los delitos</t>
  </si>
  <si>
    <t xml:space="preserve"> a excepción de secuestro, extorsión, homicidio y masacres</t>
  </si>
  <si>
    <r>
      <t xml:space="preserve">Durante el 2022 y 2023, la Policía Nacional ajustó la metodología de conteo del SIEDCO para alinear sus cifras a la metodología de conteo de criminalidad de la Fiscalía General de la Nación de la siguiente manera:
</t>
    </r>
    <r>
      <rPr>
        <sz val="11"/>
        <color theme="8" tint="-0.249977111117893"/>
        <rFont val="Calibri"/>
        <family val="2"/>
        <scheme val="minor"/>
      </rPr>
      <t xml:space="preserve">1) </t>
    </r>
    <r>
      <rPr>
        <sz val="11"/>
        <rFont val="Calibri"/>
        <family val="2"/>
        <scheme val="minor"/>
      </rPr>
      <t xml:space="preserve">Diariamente se ingresan al SIEDCO las denuncias realizadas por la ciudadanía a través de todas las fuentes de información (Estaciones de policía o boletines de policía, intercambio de información con Fiscalía General de la Nación o via web a través del portal ¡A Denunciar!) dicha información es incluida preliminarmente dentro del conteo de información estadistica.
</t>
    </r>
    <r>
      <rPr>
        <sz val="11"/>
        <color theme="8" tint="-0.249977111117893"/>
        <rFont val="Calibri"/>
        <family val="2"/>
        <scheme val="minor"/>
      </rPr>
      <t>2)</t>
    </r>
    <r>
      <rPr>
        <sz val="11"/>
        <rFont val="Calibri"/>
        <family val="2"/>
        <scheme val="minor"/>
      </rPr>
      <t xml:space="preserve"> La FGN envía mensualmente a principio de mes las denuncias, que a través del trabajo de investigación de esta entidad, se han determinado que deben archivarse o precluirse debido a tres causas: inexistencia o atipicidad del delito y querellante ilegítimo.
</t>
    </r>
    <r>
      <rPr>
        <sz val="11"/>
        <color theme="8" tint="-0.249977111117893"/>
        <rFont val="Calibri"/>
        <family val="2"/>
        <scheme val="minor"/>
      </rPr>
      <t>3)</t>
    </r>
    <r>
      <rPr>
        <sz val="11"/>
        <rFont val="Calibri"/>
        <family val="2"/>
        <scheme val="minor"/>
      </rPr>
      <t xml:space="preserve"> La Policía Nacional se encarga de desactivar estos registros dentro del SIEDCO e informa al Ministerio de Defensa Nacional sobre dicho cambio en las cifra estadisticas.
</t>
    </r>
    <r>
      <rPr>
        <sz val="11"/>
        <color theme="8" tint="-0.249977111117893"/>
        <rFont val="Calibri"/>
        <family val="2"/>
        <scheme val="minor"/>
      </rPr>
      <t>4)</t>
    </r>
    <r>
      <rPr>
        <sz val="11"/>
        <rFont val="Calibri"/>
        <family val="2"/>
        <scheme val="minor"/>
      </rPr>
      <t xml:space="preserve"> El Ministerio de Defensa Nacional descarga la información del SIEDCO para consolidar los delitos y de esta manera verificar los cambios en los registros para posteriormente publicar la información en su página Web.
</t>
    </r>
  </si>
  <si>
    <t>Aclaraciones metodológicas para los delitos y las variables de asesinados y heridos de la Fuerza Pública</t>
  </si>
  <si>
    <t>Nota 1: Durante el 2016 y 2017, la Policía Nacional y la Fiscalía General  de la Nación realizaron dos importantes actualizaciones en sus sistemas de información. Primero, las dos entidades iniciaron un  proceso de verificación y actualización del sistema de cargue de los registros de denuncias en sus sistemas de información. Segundo, el 26 de julio de 2017 se habilitó el aplicativo !A Denunciar! que permite a los ciudadanos presentar denuncias de manera electrónica. Estas actualizaciones generaron variaciones significativas en los niveles históricos de las series de los delitos de hurto común (hurto a personas, hurto a residencias y hurto a comercio), hurto de vehículos (hurto de automotores y hurto de motocicletas), hurto a entidades financieras, piratería terrestre y extorsión. 
Nota 2: Durante el año 2023 se realizó un cambio en la metodología de conteo en criminalidad en la plataforma SIEDCO encaminada a unificar su metodología con respecto al conteo de criminalidad de la Fiscalía General de la Nación teniendo en cuenta los casos archivados por atipicidad del delito, inexistencia del hecho o querellante ilegítimo, dicho cambio se hizo solo desde el año 2022 en adelante, por lo que la información estadística previa a estos años no es comparable. Durante 2024, esta metodología no se ha aplicado, dado que se encuentra en proceso de revisión por parte de la Policía Nacional
Nota 3: En la variable Delitos contra los recursos naturales y el medio ambiente se EXCLUYE el delito contemplado en el Código Penal Colombiano en el Artículo 339A: "Delitos contra la vida, la integridad física y emocional de los animales.“
Nota 4: Desde finales de 2023, la Fiscalía General de la Nación puso a disposición de la ciudadanía el botón ‘Denuncia Fácil’ para realizar denuncias a través de la web. Con la implementación de este sistema, según se ha detectado, ha habido una mejor orientación para la tipificación de las conductas delictivas, lo que ha ocasionado que se asignen de mejor manera las conductas delictivas con sus respectivos tipos penales. Esto puede implicar cambios en las cifras que no necesariamente se corresponden con cambios en el comportamiento de la criminalidad. 
Nota 5: Como resultado de una revisión que se hizo durante el año 2024 con la Policía Nacional, se actualizo la información de terrorismo para incluir todas las denuncias por los delitos contemplados en los artículos 144. Actos de terrorismo y 343. Terrorismo del Código Penal Colombiano.
Nota 6: La información de Afectación a la Fuerza Pública (asesinados y heridos), al igual que las cifras de resultados operacionales, se consolida tomando los registros de la Policía Nacional y del Comando General de las Fuerzas Militares. Por tal razón, el cierre de esta información se hace con el de las cifras de resultados operacionales, en julio de cada año.
Nota 7: Se restablece el conteo de información de desmovilizados ELN, sometidos y menores desvinculados</t>
  </si>
  <si>
    <t>Ene - Ago 2003</t>
  </si>
  <si>
    <t>Ene - Ago 2004</t>
  </si>
  <si>
    <t>Ene - Ago 2005</t>
  </si>
  <si>
    <t>Ene - Ago 2006</t>
  </si>
  <si>
    <t>Ene - Ago 2007</t>
  </si>
  <si>
    <t>Ene - Ago 2008</t>
  </si>
  <si>
    <t>Ene - Ago 2009</t>
  </si>
  <si>
    <t>Ene - Ago 2010</t>
  </si>
  <si>
    <t>Ene - Ago 2011</t>
  </si>
  <si>
    <t>Ene - Ago 2012</t>
  </si>
  <si>
    <t>Ene - Ago 2013</t>
  </si>
  <si>
    <t>Ene - Ago 2014</t>
  </si>
  <si>
    <t>Ene - Ago 2015</t>
  </si>
  <si>
    <t>Ene - Ago 2016</t>
  </si>
  <si>
    <t>Ene - Ago 2017</t>
  </si>
  <si>
    <t>Ene - Ago 2018</t>
  </si>
  <si>
    <t>Ene - Ago 2019</t>
  </si>
  <si>
    <t>Ene - Ago 2020</t>
  </si>
  <si>
    <t>Ene - Ago 2021</t>
  </si>
  <si>
    <t>Ene - Ago 2022</t>
  </si>
  <si>
    <t>Ene - Ago 2023</t>
  </si>
  <si>
    <t>Ene - Ago 2024</t>
  </si>
  <si>
    <t>Ene - Ago 2025</t>
  </si>
  <si>
    <t>Ene - Ago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</si>
</sst>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_(* #,##0.00_);_(* \(#,##0.00\);_(* &quot;-&quot;??_);_(@_)"/>
    <numFmt numFmtId="166" formatCode="0.0%"/>
  </numFmts>
  <fonts count="24"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b/>
      <sz val="13"/>
      <color rgb="FF3266CC"/>
      <name val="Calibri"/>
      <family val="2"/>
      <scheme val="minor"/>
    </font>
    <font>
      <sz val="11"/>
      <name val="Calibri"/>
      <family val="2"/>
      <scheme val="minor"/>
    </font>
    <font>
      <b/>
      <sz val="13"/>
      <color theme="1" tint="0.34998626667073579"/>
      <name val="Calibri"/>
      <family val="2"/>
      <scheme val="minor"/>
    </font>
    <font>
      <b/>
      <sz val="12"/>
      <color theme="0"/>
      <name val="Calibri"/>
      <family val="2"/>
      <scheme val="minor"/>
    </font>
    <font>
      <b/>
      <sz val="11"/>
      <name val="Calibri"/>
      <family val="2"/>
      <scheme val="minor"/>
    </font>
    <font>
      <sz val="10"/>
      <color theme="1" tint="0.34998626667073579"/>
      <name val="Calibri"/>
      <family val="2"/>
      <scheme val="minor"/>
    </font>
    <font>
      <b/>
      <sz val="10"/>
      <color theme="1" tint="0.34998626667073579"/>
      <name val="Calibri"/>
      <family val="2"/>
      <scheme val="minor"/>
    </font>
    <font>
      <sz val="11"/>
      <color theme="1" tint="0.34998626667073579"/>
      <name val="Calibri"/>
      <family val="2"/>
      <scheme val="minor"/>
    </font>
    <font>
      <sz val="9"/>
      <color theme="1" tint="0.34998626667073579"/>
      <name val="Calibri"/>
      <family val="2"/>
      <scheme val="minor"/>
    </font>
    <font>
      <b/>
      <sz val="13"/>
      <color rgb="FF666666"/>
      <name val="Calibri"/>
      <family val="2"/>
      <scheme val="minor"/>
    </font>
    <font>
      <sz val="8"/>
      <color theme="1" tint="0.34998626667073579"/>
      <name val="Calibri"/>
      <family val="2"/>
      <scheme val="minor"/>
    </font>
    <font>
      <b/>
      <sz val="8"/>
      <color theme="1" tint="0.34998626667073579"/>
      <name val="Calibri"/>
      <family val="2"/>
      <scheme val="minor"/>
    </font>
    <font>
      <b/>
      <sz val="9"/>
      <color theme="1" tint="0.34998626667073579"/>
      <name val="Calibri"/>
      <family val="2"/>
      <scheme val="minor"/>
    </font>
    <font>
      <sz val="8"/>
      <color theme="0"/>
      <name val="Calibri"/>
      <family val="2"/>
      <scheme val="minor"/>
    </font>
    <font>
      <b/>
      <vertAlign val="superscript"/>
      <sz val="13"/>
      <color rgb="FF666666"/>
      <name val="Calibri"/>
      <family val="2"/>
      <scheme val="minor"/>
    </font>
    <font>
      <b/>
      <sz val="12"/>
      <color rgb="FFFFFFFF"/>
      <name val="Calibri"/>
      <family val="2"/>
      <scheme val="minor"/>
    </font>
    <font>
      <sz val="11"/>
      <color rgb="FF658BF7"/>
      <name val="Calibri"/>
      <family val="2"/>
      <scheme val="minor"/>
    </font>
    <font>
      <sz val="12"/>
      <name val="Calibri"/>
      <family val="2"/>
      <scheme val="minor"/>
    </font>
    <font>
      <vertAlign val="superscript"/>
      <sz val="11"/>
      <color theme="1"/>
      <name val="Calibri"/>
      <family val="2"/>
      <scheme val="minor"/>
    </font>
    <font>
      <sz val="11"/>
      <color theme="8" tint="-0.249977111117893"/>
      <name val="Calibri"/>
      <family val="2"/>
      <scheme val="minor"/>
    </font>
  </fonts>
  <fills count="7">
    <fill>
      <patternFill patternType="none"/>
    </fill>
    <fill>
      <patternFill patternType="gray125"/>
    </fill>
    <fill>
      <patternFill patternType="solid">
        <fgColor rgb="FF3772E1"/>
        <bgColor indexed="64"/>
      </patternFill>
    </fill>
    <fill>
      <patternFill patternType="solid">
        <fgColor rgb="FF0F2E67"/>
        <bgColor indexed="64"/>
      </patternFill>
    </fill>
    <fill>
      <patternFill patternType="solid">
        <fgColor rgb="FFE6EFFD"/>
        <bgColor indexed="64"/>
      </patternFill>
    </fill>
    <fill>
      <patternFill patternType="solid">
        <fgColor rgb="FFFFE699"/>
        <bgColor indexed="64"/>
      </patternFill>
    </fill>
    <fill>
      <patternFill patternType="solid">
        <fgColor rgb="FF658BF7"/>
        <bgColor indexed="64"/>
      </patternFill>
    </fill>
  </fills>
  <borders count="6">
    <border>
      <left/>
      <right/>
      <top/>
      <bottom/>
      <diagonal/>
    </border>
    <border>
      <left/>
      <right/>
      <top/>
      <bottom style="medium">
        <color rgb="FFFFFFFF"/>
      </bottom>
      <diagonal/>
    </border>
    <border>
      <left style="medium">
        <color rgb="FFFFFFFF"/>
      </left>
      <right style="medium">
        <color rgb="FFFFFFFF"/>
      </right>
      <top style="medium">
        <color rgb="FFFFFFFF"/>
      </top>
      <bottom style="thick">
        <color rgb="FFFFFFFF"/>
      </bottom>
      <diagonal/>
    </border>
    <border>
      <left style="medium">
        <color theme="0"/>
      </left>
      <right style="medium">
        <color theme="0"/>
      </right>
      <top style="medium">
        <color theme="0"/>
      </top>
      <bottom style="medium">
        <color theme="0"/>
      </bottom>
      <diagonal/>
    </border>
    <border>
      <left style="medium">
        <color theme="0"/>
      </left>
      <right/>
      <top/>
      <bottom/>
      <diagonal/>
    </border>
    <border>
      <left/>
      <right/>
      <top style="medium">
        <color theme="0"/>
      </top>
      <bottom/>
      <diagonal/>
    </border>
  </borders>
  <cellStyleXfs count="3">
    <xf numFmtId="0" fontId="0" fillId="0" borderId="0"/>
    <xf numFmtId="165" fontId="1" fillId="0" borderId="0" applyFont="0" applyFill="0" applyBorder="0" applyAlignment="0" applyProtection="0"/>
    <xf numFmtId="9" fontId="1" fillId="0" borderId="0" applyFont="0" applyFill="0" applyBorder="0" applyAlignment="0" applyProtection="0"/>
  </cellStyleXfs>
  <cellXfs count="58">
    <xf numFmtId="0" fontId="0" fillId="0" borderId="0" xfId="0"/>
    <xf numFmtId="0" fontId="5" fillId="0" borderId="0" xfId="0" applyFont="1"/>
    <xf numFmtId="0" fontId="6" fillId="0" borderId="1" xfId="0" applyFont="1" applyBorder="1"/>
    <xf numFmtId="0" fontId="7" fillId="2" borderId="2" xfId="0" applyFont="1" applyFill="1" applyBorder="1" applyAlignment="1">
      <alignment horizontal="left" vertical="center" wrapText="1" readingOrder="1"/>
    </xf>
    <xf numFmtId="3" fontId="7" fillId="2" borderId="2" xfId="0" applyNumberFormat="1" applyFont="1" applyFill="1" applyBorder="1" applyAlignment="1">
      <alignment horizontal="center" vertical="center" wrapText="1" readingOrder="1"/>
    </xf>
    <xf numFmtId="3" fontId="7" fillId="3" borderId="2" xfId="0" applyNumberFormat="1" applyFont="1" applyFill="1" applyBorder="1" applyAlignment="1">
      <alignment horizontal="center" vertical="center" wrapText="1" readingOrder="1"/>
    </xf>
    <xf numFmtId="0" fontId="0" fillId="4" borderId="3" xfId="0" applyFill="1" applyBorder="1" applyAlignment="1">
      <alignment horizontal="left" indent="2"/>
    </xf>
    <xf numFmtId="3" fontId="0" fillId="4" borderId="3" xfId="0" applyNumberFormat="1" applyFill="1" applyBorder="1" applyAlignment="1">
      <alignment horizontal="center"/>
    </xf>
    <xf numFmtId="3" fontId="0" fillId="4" borderId="3" xfId="0" applyNumberFormat="1" applyFill="1" applyBorder="1" applyAlignment="1">
      <alignment horizontal="center" wrapText="1"/>
    </xf>
    <xf numFmtId="0" fontId="7" fillId="2" borderId="2" xfId="0" applyFont="1" applyFill="1" applyBorder="1" applyAlignment="1">
      <alignment horizontal="center" vertical="center" wrapText="1" readingOrder="1"/>
    </xf>
    <xf numFmtId="0" fontId="8" fillId="5" borderId="4" xfId="0" applyFont="1" applyFill="1" applyBorder="1" applyAlignment="1">
      <alignment horizontal="left" indent="2"/>
    </xf>
    <xf numFmtId="3" fontId="5" fillId="5" borderId="3" xfId="0" applyNumberFormat="1" applyFont="1" applyFill="1" applyBorder="1" applyAlignment="1">
      <alignment horizontal="center"/>
    </xf>
    <xf numFmtId="0" fontId="0" fillId="0" borderId="0" xfId="0" applyAlignment="1">
      <alignment horizontal="center"/>
    </xf>
    <xf numFmtId="0" fontId="11" fillId="0" borderId="0" xfId="0" applyFont="1"/>
    <xf numFmtId="0" fontId="9" fillId="0" borderId="0" xfId="0" applyFont="1" applyAlignment="1">
      <alignment horizontal="left"/>
    </xf>
    <xf numFmtId="0" fontId="11" fillId="0" borderId="0" xfId="0" applyFont="1" applyAlignment="1">
      <alignment horizontal="left"/>
    </xf>
    <xf numFmtId="0" fontId="9" fillId="0" borderId="0" xfId="0" applyFont="1"/>
    <xf numFmtId="0" fontId="13" fillId="0" borderId="0" xfId="0" applyFont="1" applyAlignment="1">
      <alignment horizontal="center"/>
    </xf>
    <xf numFmtId="3" fontId="3" fillId="0" borderId="0" xfId="0" applyNumberFormat="1" applyFont="1" applyAlignment="1">
      <alignment horizontal="center"/>
    </xf>
    <xf numFmtId="4" fontId="0" fillId="4" borderId="3" xfId="0" applyNumberFormat="1" applyFill="1" applyBorder="1" applyAlignment="1">
      <alignment horizontal="center"/>
    </xf>
    <xf numFmtId="164" fontId="0" fillId="4" borderId="3" xfId="0" applyNumberFormat="1" applyFill="1" applyBorder="1" applyAlignment="1">
      <alignment horizontal="center"/>
    </xf>
    <xf numFmtId="0" fontId="14" fillId="0" borderId="0" xfId="0" applyFont="1" applyAlignment="1">
      <alignment vertical="top" wrapText="1" readingOrder="1"/>
    </xf>
    <xf numFmtId="0" fontId="3" fillId="0" borderId="0" xfId="0" applyFont="1"/>
    <xf numFmtId="0" fontId="9" fillId="0" borderId="0" xfId="0" applyFont="1" applyAlignment="1">
      <alignment horizontal="left" vertical="top"/>
    </xf>
    <xf numFmtId="9" fontId="11" fillId="0" borderId="0" xfId="2" applyFont="1" applyBorder="1" applyAlignment="1">
      <alignment horizontal="center"/>
    </xf>
    <xf numFmtId="0" fontId="6" fillId="0" borderId="0" xfId="0" applyFont="1"/>
    <xf numFmtId="0" fontId="0" fillId="0" borderId="0" xfId="0" applyAlignment="1">
      <alignment horizontal="left"/>
    </xf>
    <xf numFmtId="0" fontId="7" fillId="2" borderId="2" xfId="1" applyNumberFormat="1" applyFont="1" applyFill="1" applyBorder="1" applyAlignment="1">
      <alignment horizontal="center" vertical="center" wrapText="1" readingOrder="1"/>
    </xf>
    <xf numFmtId="0" fontId="7" fillId="3" borderId="2" xfId="0" applyFont="1" applyFill="1" applyBorder="1" applyAlignment="1">
      <alignment horizontal="center" vertical="center" wrapText="1" readingOrder="1"/>
    </xf>
    <xf numFmtId="0" fontId="0" fillId="4" borderId="4" xfId="0" applyFill="1" applyBorder="1" applyAlignment="1">
      <alignment horizontal="left" indent="2"/>
    </xf>
    <xf numFmtId="9" fontId="3" fillId="0" borderId="0" xfId="2" applyFont="1" applyBorder="1" applyAlignment="1">
      <alignment horizontal="center"/>
    </xf>
    <xf numFmtId="0" fontId="17" fillId="0" borderId="0" xfId="0" applyFont="1" applyAlignment="1">
      <alignment vertical="top" wrapText="1" readingOrder="1"/>
    </xf>
    <xf numFmtId="0" fontId="4" fillId="0" borderId="0" xfId="0" applyFont="1"/>
    <xf numFmtId="0" fontId="13" fillId="0" borderId="0" xfId="0" applyFont="1"/>
    <xf numFmtId="0" fontId="19" fillId="0" borderId="0" xfId="0" applyFont="1" applyAlignment="1">
      <alignment horizontal="left" vertical="center" wrapText="1" readingOrder="1"/>
    </xf>
    <xf numFmtId="0" fontId="19" fillId="0" borderId="0" xfId="0" applyFont="1" applyAlignment="1">
      <alignment horizontal="center" vertical="center" wrapText="1" readingOrder="1"/>
    </xf>
    <xf numFmtId="0" fontId="0" fillId="0" borderId="0" xfId="0" applyAlignment="1">
      <alignment horizontal="left" indent="2"/>
    </xf>
    <xf numFmtId="166" fontId="0" fillId="0" borderId="0" xfId="2" applyNumberFormat="1" applyFont="1" applyFill="1" applyBorder="1" applyAlignment="1">
      <alignment horizontal="center"/>
    </xf>
    <xf numFmtId="0" fontId="21" fillId="0" borderId="0" xfId="0" applyFont="1" applyAlignment="1">
      <alignment horizontal="left" vertical="top" wrapText="1" readingOrder="1"/>
    </xf>
    <xf numFmtId="9" fontId="3" fillId="0" borderId="0" xfId="2" applyFont="1" applyBorder="1" applyAlignment="1">
      <alignment horizontal="right"/>
    </xf>
    <xf numFmtId="0" fontId="9" fillId="0" borderId="0" xfId="0" applyFont="1" applyAlignment="1">
      <alignment horizontal="left" vertical="center" wrapText="1"/>
    </xf>
    <xf numFmtId="0" fontId="4" fillId="0" borderId="0" xfId="0" applyFont="1" applyAlignment="1">
      <alignment horizontal="center"/>
    </xf>
    <xf numFmtId="0" fontId="6" fillId="0" borderId="0" xfId="0" applyFont="1" applyAlignment="1">
      <alignment horizontal="center"/>
    </xf>
    <xf numFmtId="0" fontId="6" fillId="0" borderId="1" xfId="0" applyFont="1" applyBorder="1" applyAlignment="1">
      <alignment horizontal="center"/>
    </xf>
    <xf numFmtId="0" fontId="9" fillId="0" borderId="0" xfId="0" applyFont="1" applyAlignment="1">
      <alignment horizontal="left" vertical="top" wrapText="1"/>
    </xf>
    <xf numFmtId="0" fontId="10" fillId="0" borderId="0" xfId="0" applyFont="1" applyAlignment="1">
      <alignment horizontal="left" vertical="top" wrapText="1"/>
    </xf>
    <xf numFmtId="0" fontId="9" fillId="0" borderId="5" xfId="0" applyFont="1" applyBorder="1" applyAlignment="1">
      <alignment horizontal="left" wrapText="1"/>
    </xf>
    <xf numFmtId="0" fontId="9" fillId="0" borderId="0" xfId="0" applyFont="1" applyAlignment="1">
      <alignment horizontal="left" wrapText="1"/>
    </xf>
    <xf numFmtId="0" fontId="12" fillId="0" borderId="0" xfId="0" applyFont="1" applyAlignment="1">
      <alignment horizontal="left" vertical="top" wrapText="1"/>
    </xf>
    <xf numFmtId="0" fontId="9" fillId="0" borderId="5" xfId="0" applyFont="1" applyBorder="1" applyAlignment="1">
      <alignment horizontal="left" vertical="top" wrapText="1"/>
    </xf>
    <xf numFmtId="0" fontId="15" fillId="0" borderId="0" xfId="0" applyFont="1" applyAlignment="1">
      <alignment horizontal="left" vertical="top" wrapText="1"/>
    </xf>
    <xf numFmtId="0" fontId="14" fillId="0" borderId="0" xfId="0" applyFont="1" applyAlignment="1">
      <alignment horizontal="left" vertical="top" wrapText="1"/>
    </xf>
    <xf numFmtId="0" fontId="16" fillId="0" borderId="0" xfId="0" applyFont="1" applyAlignment="1">
      <alignment horizontal="left" vertical="top" wrapText="1"/>
    </xf>
    <xf numFmtId="0" fontId="7" fillId="6" borderId="0" xfId="0" applyFont="1" applyFill="1" applyAlignment="1">
      <alignment horizontal="center" vertical="top" wrapText="1" readingOrder="1"/>
    </xf>
    <xf numFmtId="0" fontId="13" fillId="0" borderId="0" xfId="0" applyFont="1" applyAlignment="1">
      <alignment horizontal="center"/>
    </xf>
    <xf numFmtId="0" fontId="13" fillId="0" borderId="0" xfId="0" applyFont="1" applyAlignment="1">
      <alignment horizontal="center" wrapText="1"/>
    </xf>
    <xf numFmtId="0" fontId="5" fillId="0" borderId="0" xfId="0" applyFont="1" applyAlignment="1">
      <alignment horizontal="left" vertical="top" wrapText="1" readingOrder="1"/>
    </xf>
    <xf numFmtId="0" fontId="13" fillId="0" borderId="0" xfId="0" applyFont="1" applyAlignment="1">
      <alignment horizontal="center" vertical="center"/>
    </xf>
  </cellXfs>
  <cellStyles count="3">
    <cellStyle name="Millares" xfId="1" builtinId="3"/>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jpeg"/></Relationships>
</file>

<file path=xl/drawings/_rels/drawing3.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media/image5.png"/><Relationship Id="rId1" Type="http://schemas.openxmlformats.org/officeDocument/2006/relationships/image" Target="../media/image3.png"/><Relationship Id="rId4" Type="http://schemas.openxmlformats.org/officeDocument/2006/relationships/image" Target="../media/image7.jpe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8.jpeg"/></Relationships>
</file>

<file path=xl/drawings/_rels/drawing5.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5" Type="http://schemas.openxmlformats.org/officeDocument/2006/relationships/image" Target="../media/image8.jpeg"/><Relationship Id="rId4" Type="http://schemas.openxmlformats.org/officeDocument/2006/relationships/image" Target="../media/image3.png"/></Relationships>
</file>

<file path=xl/drawings/_rels/drawing6.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5" Type="http://schemas.openxmlformats.org/officeDocument/2006/relationships/image" Target="../media/image8.jpeg"/><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jpeg"/></Relationships>
</file>

<file path=xl/drawings/drawing1.xml><?xml version="1.0" encoding="utf-8"?>
<xdr:wsDr xmlns:xdr="http://schemas.openxmlformats.org/drawingml/2006/spreadsheetDrawing" xmlns:a="http://schemas.openxmlformats.org/drawingml/2006/main">
  <xdr:twoCellAnchor editAs="oneCell">
    <xdr:from>
      <xdr:col>1</xdr:col>
      <xdr:colOff>149677</xdr:colOff>
      <xdr:row>0</xdr:row>
      <xdr:rowOff>108858</xdr:rowOff>
    </xdr:from>
    <xdr:to>
      <xdr:col>1</xdr:col>
      <xdr:colOff>1109987</xdr:colOff>
      <xdr:row>4</xdr:row>
      <xdr:rowOff>10582</xdr:rowOff>
    </xdr:to>
    <xdr:pic>
      <xdr:nvPicPr>
        <xdr:cNvPr id="2" name="Imagen 1">
          <a:extLst>
            <a:ext uri="{FF2B5EF4-FFF2-40B4-BE49-F238E27FC236}">
              <a16:creationId xmlns:a16="http://schemas.microsoft.com/office/drawing/2014/main" id="{A8DF7B94-631C-4563-8427-F54A7FF4B7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5402" y="108858"/>
          <a:ext cx="960310" cy="7780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163286</xdr:colOff>
      <xdr:row>48</xdr:row>
      <xdr:rowOff>95250</xdr:rowOff>
    </xdr:from>
    <xdr:to>
      <xdr:col>1</xdr:col>
      <xdr:colOff>1123596</xdr:colOff>
      <xdr:row>51</xdr:row>
      <xdr:rowOff>214688</xdr:rowOff>
    </xdr:to>
    <xdr:pic>
      <xdr:nvPicPr>
        <xdr:cNvPr id="3" name="Imagen 2">
          <a:extLst>
            <a:ext uri="{FF2B5EF4-FFF2-40B4-BE49-F238E27FC236}">
              <a16:creationId xmlns:a16="http://schemas.microsoft.com/office/drawing/2014/main" id="{D66978BA-BAEE-4743-8D72-2A864CF848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9011" y="11534775"/>
          <a:ext cx="960310" cy="7766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24</xdr:col>
      <xdr:colOff>399164</xdr:colOff>
      <xdr:row>1</xdr:row>
      <xdr:rowOff>27000</xdr:rowOff>
    </xdr:from>
    <xdr:ext cx="1187390" cy="845787"/>
    <xdr:pic>
      <xdr:nvPicPr>
        <xdr:cNvPr id="4" name="Imagen 3">
          <a:extLst>
            <a:ext uri="{FF2B5EF4-FFF2-40B4-BE49-F238E27FC236}">
              <a16:creationId xmlns:a16="http://schemas.microsoft.com/office/drawing/2014/main" id="{FD337F3F-B591-4B7C-99EF-A1FF8935F3F7}"/>
            </a:ext>
          </a:extLst>
        </xdr:cNvPr>
        <xdr:cNvPicPr>
          <a:picLocks noChangeAspect="1"/>
        </xdr:cNvPicPr>
      </xdr:nvPicPr>
      <xdr:blipFill>
        <a:blip xmlns:r="http://schemas.openxmlformats.org/officeDocument/2006/relationships" r:embed="rId3">
          <a:duotone>
            <a:schemeClr val="accent5">
              <a:shade val="45000"/>
              <a:satMod val="135000"/>
            </a:schemeClr>
            <a:prstClr val="white"/>
          </a:duotone>
        </a:blip>
        <a:stretch>
          <a:fillRect/>
        </a:stretch>
      </xdr:blipFill>
      <xdr:spPr>
        <a:xfrm>
          <a:off x="23887814" y="246075"/>
          <a:ext cx="1187390" cy="845787"/>
        </a:xfrm>
        <a:prstGeom prst="rect">
          <a:avLst/>
        </a:prstGeom>
      </xdr:spPr>
    </xdr:pic>
    <xdr:clientData/>
  </xdr:oneCellAnchor>
  <xdr:oneCellAnchor>
    <xdr:from>
      <xdr:col>24</xdr:col>
      <xdr:colOff>497616</xdr:colOff>
      <xdr:row>48</xdr:row>
      <xdr:rowOff>27001</xdr:rowOff>
    </xdr:from>
    <xdr:ext cx="1187390" cy="839383"/>
    <xdr:pic>
      <xdr:nvPicPr>
        <xdr:cNvPr id="5" name="Imagen 4">
          <a:extLst>
            <a:ext uri="{FF2B5EF4-FFF2-40B4-BE49-F238E27FC236}">
              <a16:creationId xmlns:a16="http://schemas.microsoft.com/office/drawing/2014/main" id="{F78F9733-46A9-4B0F-995A-16065320AD90}"/>
            </a:ext>
          </a:extLst>
        </xdr:cNvPr>
        <xdr:cNvPicPr>
          <a:picLocks noChangeAspect="1"/>
        </xdr:cNvPicPr>
      </xdr:nvPicPr>
      <xdr:blipFill>
        <a:blip xmlns:r="http://schemas.openxmlformats.org/officeDocument/2006/relationships" r:embed="rId3">
          <a:duotone>
            <a:schemeClr val="accent5">
              <a:shade val="45000"/>
              <a:satMod val="135000"/>
            </a:schemeClr>
            <a:prstClr val="white"/>
          </a:duotone>
        </a:blip>
        <a:stretch>
          <a:fillRect/>
        </a:stretch>
      </xdr:blipFill>
      <xdr:spPr>
        <a:xfrm>
          <a:off x="23986266" y="11466526"/>
          <a:ext cx="1187390" cy="839383"/>
        </a:xfrm>
        <a:prstGeom prst="rect">
          <a:avLst/>
        </a:prstGeom>
      </xdr:spPr>
    </xdr:pic>
    <xdr:clientData/>
  </xdr:oneCellAnchor>
  <xdr:oneCellAnchor>
    <xdr:from>
      <xdr:col>1</xdr:col>
      <xdr:colOff>149677</xdr:colOff>
      <xdr:row>0</xdr:row>
      <xdr:rowOff>108858</xdr:rowOff>
    </xdr:from>
    <xdr:ext cx="960310" cy="772581"/>
    <xdr:pic>
      <xdr:nvPicPr>
        <xdr:cNvPr id="6" name="Imagen 5">
          <a:extLst>
            <a:ext uri="{FF2B5EF4-FFF2-40B4-BE49-F238E27FC236}">
              <a16:creationId xmlns:a16="http://schemas.microsoft.com/office/drawing/2014/main" id="{9D952DBB-0D57-4900-BC5F-8559417D44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5402" y="108858"/>
          <a:ext cx="960310" cy="77802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163286</xdr:colOff>
      <xdr:row>48</xdr:row>
      <xdr:rowOff>95250</xdr:rowOff>
    </xdr:from>
    <xdr:ext cx="960310" cy="772581"/>
    <xdr:pic>
      <xdr:nvPicPr>
        <xdr:cNvPr id="7" name="Imagen 6">
          <a:extLst>
            <a:ext uri="{FF2B5EF4-FFF2-40B4-BE49-F238E27FC236}">
              <a16:creationId xmlns:a16="http://schemas.microsoft.com/office/drawing/2014/main" id="{77C69AC7-7F6E-4829-99ED-AF08D406D27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9011" y="11229975"/>
          <a:ext cx="960310" cy="7766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399164</xdr:colOff>
      <xdr:row>1</xdr:row>
      <xdr:rowOff>27000</xdr:rowOff>
    </xdr:from>
    <xdr:ext cx="1187390" cy="845787"/>
    <xdr:pic>
      <xdr:nvPicPr>
        <xdr:cNvPr id="8" name="Imagen 7">
          <a:extLst>
            <a:ext uri="{FF2B5EF4-FFF2-40B4-BE49-F238E27FC236}">
              <a16:creationId xmlns:a16="http://schemas.microsoft.com/office/drawing/2014/main" id="{5C953DEF-AA55-4636-8F2D-A70C343570E0}"/>
            </a:ext>
          </a:extLst>
        </xdr:cNvPr>
        <xdr:cNvPicPr>
          <a:picLocks noChangeAspect="1"/>
        </xdr:cNvPicPr>
      </xdr:nvPicPr>
      <xdr:blipFill>
        <a:blip xmlns:r="http://schemas.openxmlformats.org/officeDocument/2006/relationships" r:embed="rId3">
          <a:duotone>
            <a:schemeClr val="accent5">
              <a:shade val="45000"/>
              <a:satMod val="135000"/>
            </a:schemeClr>
            <a:prstClr val="white"/>
          </a:duotone>
        </a:blip>
        <a:stretch>
          <a:fillRect/>
        </a:stretch>
      </xdr:blipFill>
      <xdr:spPr>
        <a:xfrm>
          <a:off x="23887814" y="246075"/>
          <a:ext cx="1187390" cy="845787"/>
        </a:xfrm>
        <a:prstGeom prst="rect">
          <a:avLst/>
        </a:prstGeom>
      </xdr:spPr>
    </xdr:pic>
    <xdr:clientData/>
  </xdr:oneCellAnchor>
  <xdr:oneCellAnchor>
    <xdr:from>
      <xdr:col>24</xdr:col>
      <xdr:colOff>497616</xdr:colOff>
      <xdr:row>48</xdr:row>
      <xdr:rowOff>27001</xdr:rowOff>
    </xdr:from>
    <xdr:ext cx="1187390" cy="839383"/>
    <xdr:pic>
      <xdr:nvPicPr>
        <xdr:cNvPr id="9" name="Imagen 8">
          <a:extLst>
            <a:ext uri="{FF2B5EF4-FFF2-40B4-BE49-F238E27FC236}">
              <a16:creationId xmlns:a16="http://schemas.microsoft.com/office/drawing/2014/main" id="{BD1000D1-F3A3-4FF4-B9B7-18C6901D0CB2}"/>
            </a:ext>
          </a:extLst>
        </xdr:cNvPr>
        <xdr:cNvPicPr>
          <a:picLocks noChangeAspect="1"/>
        </xdr:cNvPicPr>
      </xdr:nvPicPr>
      <xdr:blipFill>
        <a:blip xmlns:r="http://schemas.openxmlformats.org/officeDocument/2006/relationships" r:embed="rId3">
          <a:duotone>
            <a:schemeClr val="accent5">
              <a:shade val="45000"/>
              <a:satMod val="135000"/>
            </a:schemeClr>
            <a:prstClr val="white"/>
          </a:duotone>
        </a:blip>
        <a:stretch>
          <a:fillRect/>
        </a:stretch>
      </xdr:blipFill>
      <xdr:spPr>
        <a:xfrm>
          <a:off x="23986266" y="11161726"/>
          <a:ext cx="1187390" cy="839383"/>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156883</xdr:colOff>
      <xdr:row>0</xdr:row>
      <xdr:rowOff>101867</xdr:rowOff>
    </xdr:from>
    <xdr:to>
      <xdr:col>1</xdr:col>
      <xdr:colOff>1117193</xdr:colOff>
      <xdr:row>3</xdr:row>
      <xdr:rowOff>202095</xdr:rowOff>
    </xdr:to>
    <xdr:pic>
      <xdr:nvPicPr>
        <xdr:cNvPr id="2" name="Imagen 1">
          <a:extLst>
            <a:ext uri="{FF2B5EF4-FFF2-40B4-BE49-F238E27FC236}">
              <a16:creationId xmlns:a16="http://schemas.microsoft.com/office/drawing/2014/main" id="{695A0CB4-E630-4C3E-9C00-7FE8DBA544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4508" y="101867"/>
          <a:ext cx="960310" cy="7574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24</xdr:col>
      <xdr:colOff>463199</xdr:colOff>
      <xdr:row>0</xdr:row>
      <xdr:rowOff>134471</xdr:rowOff>
    </xdr:from>
    <xdr:ext cx="1180186" cy="820173"/>
    <xdr:pic>
      <xdr:nvPicPr>
        <xdr:cNvPr id="3" name="Imagen 2">
          <a:extLst>
            <a:ext uri="{FF2B5EF4-FFF2-40B4-BE49-F238E27FC236}">
              <a16:creationId xmlns:a16="http://schemas.microsoft.com/office/drawing/2014/main" id="{72900154-B87E-4CAB-8295-94BE8A5B7CA3}"/>
            </a:ext>
          </a:extLst>
        </xdr:cNvPr>
        <xdr:cNvPicPr>
          <a:picLocks noChangeAspect="1"/>
        </xdr:cNvPicPr>
      </xdr:nvPicPr>
      <xdr:blipFill>
        <a:blip xmlns:r="http://schemas.openxmlformats.org/officeDocument/2006/relationships" r:embed="rId2">
          <a:duotone>
            <a:schemeClr val="accent5">
              <a:shade val="45000"/>
              <a:satMod val="135000"/>
            </a:schemeClr>
            <a:prstClr val="white"/>
          </a:duotone>
        </a:blip>
        <a:stretch>
          <a:fillRect/>
        </a:stretch>
      </xdr:blipFill>
      <xdr:spPr>
        <a:xfrm>
          <a:off x="21923024" y="134471"/>
          <a:ext cx="1180186" cy="820173"/>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47</xdr:col>
      <xdr:colOff>200663</xdr:colOff>
      <xdr:row>38</xdr:row>
      <xdr:rowOff>114072</xdr:rowOff>
    </xdr:from>
    <xdr:to>
      <xdr:col>48</xdr:col>
      <xdr:colOff>616297</xdr:colOff>
      <xdr:row>40</xdr:row>
      <xdr:rowOff>336691</xdr:rowOff>
    </xdr:to>
    <xdr:pic>
      <xdr:nvPicPr>
        <xdr:cNvPr id="2" name="Imagen 1">
          <a:extLst>
            <a:ext uri="{FF2B5EF4-FFF2-40B4-BE49-F238E27FC236}">
              <a16:creationId xmlns:a16="http://schemas.microsoft.com/office/drawing/2014/main" id="{A8EE6CF7-B28A-4FD4-9F1F-36B6CD3ED356}"/>
            </a:ext>
          </a:extLst>
        </xdr:cNvPr>
        <xdr:cNvPicPr>
          <a:picLocks noChangeAspect="1"/>
        </xdr:cNvPicPr>
      </xdr:nvPicPr>
      <xdr:blipFill>
        <a:blip xmlns:r="http://schemas.openxmlformats.org/officeDocument/2006/relationships" r:embed="rId1">
          <a:duotone>
            <a:schemeClr val="accent5">
              <a:shade val="45000"/>
              <a:satMod val="135000"/>
            </a:schemeClr>
            <a:prstClr val="white"/>
          </a:duotone>
        </a:blip>
        <a:stretch>
          <a:fillRect/>
        </a:stretch>
      </xdr:blipFill>
      <xdr:spPr>
        <a:xfrm>
          <a:off x="39500813" y="8867547"/>
          <a:ext cx="1177634" cy="841744"/>
        </a:xfrm>
        <a:prstGeom prst="rect">
          <a:avLst/>
        </a:prstGeom>
      </xdr:spPr>
    </xdr:pic>
    <xdr:clientData/>
  </xdr:twoCellAnchor>
  <xdr:twoCellAnchor editAs="oneCell">
    <xdr:from>
      <xdr:col>49</xdr:col>
      <xdr:colOff>68035</xdr:colOff>
      <xdr:row>38</xdr:row>
      <xdr:rowOff>100054</xdr:rowOff>
    </xdr:from>
    <xdr:to>
      <xdr:col>52</xdr:col>
      <xdr:colOff>531180</xdr:colOff>
      <xdr:row>40</xdr:row>
      <xdr:rowOff>303202</xdr:rowOff>
    </xdr:to>
    <xdr:pic>
      <xdr:nvPicPr>
        <xdr:cNvPr id="3" name="Imagen 2">
          <a:extLst>
            <a:ext uri="{FF2B5EF4-FFF2-40B4-BE49-F238E27FC236}">
              <a16:creationId xmlns:a16="http://schemas.microsoft.com/office/drawing/2014/main" id="{27EAD34D-F91D-4F13-B31B-53B72E03FFAC}"/>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86667" t="4057" b="89499"/>
        <a:stretch/>
      </xdr:blipFill>
      <xdr:spPr>
        <a:xfrm>
          <a:off x="40892185" y="8853529"/>
          <a:ext cx="2749145" cy="822273"/>
        </a:xfrm>
        <a:prstGeom prst="rect">
          <a:avLst/>
        </a:prstGeom>
      </xdr:spPr>
    </xdr:pic>
    <xdr:clientData/>
  </xdr:twoCellAnchor>
  <xdr:twoCellAnchor editAs="oneCell">
    <xdr:from>
      <xdr:col>1</xdr:col>
      <xdr:colOff>380999</xdr:colOff>
      <xdr:row>0</xdr:row>
      <xdr:rowOff>143707</xdr:rowOff>
    </xdr:from>
    <xdr:to>
      <xdr:col>1</xdr:col>
      <xdr:colOff>1341309</xdr:colOff>
      <xdr:row>4</xdr:row>
      <xdr:rowOff>23165</xdr:rowOff>
    </xdr:to>
    <xdr:pic>
      <xdr:nvPicPr>
        <xdr:cNvPr id="4" name="Imagen 3">
          <a:extLst>
            <a:ext uri="{FF2B5EF4-FFF2-40B4-BE49-F238E27FC236}">
              <a16:creationId xmlns:a16="http://schemas.microsoft.com/office/drawing/2014/main" id="{0D57EA2B-FE2F-4199-B12E-1364100E7B6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66724" y="143707"/>
          <a:ext cx="960310" cy="7557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173182</xdr:colOff>
      <xdr:row>47</xdr:row>
      <xdr:rowOff>242454</xdr:rowOff>
    </xdr:from>
    <xdr:to>
      <xdr:col>1</xdr:col>
      <xdr:colOff>1133492</xdr:colOff>
      <xdr:row>51</xdr:row>
      <xdr:rowOff>62536</xdr:rowOff>
    </xdr:to>
    <xdr:pic>
      <xdr:nvPicPr>
        <xdr:cNvPr id="5" name="Imagen 4">
          <a:extLst>
            <a:ext uri="{FF2B5EF4-FFF2-40B4-BE49-F238E27FC236}">
              <a16:creationId xmlns:a16="http://schemas.microsoft.com/office/drawing/2014/main" id="{ED553992-3284-4C60-A75A-35BD0BC996F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58907" y="11320029"/>
          <a:ext cx="960310" cy="7535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23</xdr:col>
      <xdr:colOff>48581</xdr:colOff>
      <xdr:row>0</xdr:row>
      <xdr:rowOff>176679</xdr:rowOff>
    </xdr:from>
    <xdr:ext cx="1187390" cy="845787"/>
    <xdr:pic>
      <xdr:nvPicPr>
        <xdr:cNvPr id="6" name="Imagen 5">
          <a:extLst>
            <a:ext uri="{FF2B5EF4-FFF2-40B4-BE49-F238E27FC236}">
              <a16:creationId xmlns:a16="http://schemas.microsoft.com/office/drawing/2014/main" id="{448CB36B-4376-434D-B89E-48FEB51221F3}"/>
            </a:ext>
          </a:extLst>
        </xdr:cNvPr>
        <xdr:cNvPicPr>
          <a:picLocks noChangeAspect="1"/>
        </xdr:cNvPicPr>
      </xdr:nvPicPr>
      <xdr:blipFill>
        <a:blip xmlns:r="http://schemas.openxmlformats.org/officeDocument/2006/relationships" r:embed="rId1">
          <a:duotone>
            <a:schemeClr val="accent5">
              <a:shade val="45000"/>
              <a:satMod val="135000"/>
            </a:schemeClr>
            <a:prstClr val="white"/>
          </a:duotone>
        </a:blip>
        <a:stretch>
          <a:fillRect/>
        </a:stretch>
      </xdr:blipFill>
      <xdr:spPr>
        <a:xfrm>
          <a:off x="20889281" y="176679"/>
          <a:ext cx="1187390" cy="845787"/>
        </a:xfrm>
        <a:prstGeom prst="rect">
          <a:avLst/>
        </a:prstGeom>
      </xdr:spPr>
    </xdr:pic>
    <xdr:clientData/>
  </xdr:oneCellAnchor>
  <xdr:oneCellAnchor>
    <xdr:from>
      <xdr:col>23</xdr:col>
      <xdr:colOff>497616</xdr:colOff>
      <xdr:row>48</xdr:row>
      <xdr:rowOff>27001</xdr:rowOff>
    </xdr:from>
    <xdr:ext cx="1187390" cy="839383"/>
    <xdr:pic>
      <xdr:nvPicPr>
        <xdr:cNvPr id="7" name="Imagen 6">
          <a:extLst>
            <a:ext uri="{FF2B5EF4-FFF2-40B4-BE49-F238E27FC236}">
              <a16:creationId xmlns:a16="http://schemas.microsoft.com/office/drawing/2014/main" id="{60B5FA23-DCCB-4AFE-B6A6-F78517357DF6}"/>
            </a:ext>
          </a:extLst>
        </xdr:cNvPr>
        <xdr:cNvPicPr>
          <a:picLocks noChangeAspect="1"/>
        </xdr:cNvPicPr>
      </xdr:nvPicPr>
      <xdr:blipFill>
        <a:blip xmlns:r="http://schemas.openxmlformats.org/officeDocument/2006/relationships" r:embed="rId1">
          <a:duotone>
            <a:schemeClr val="accent5">
              <a:shade val="45000"/>
              <a:satMod val="135000"/>
            </a:schemeClr>
            <a:prstClr val="white"/>
          </a:duotone>
        </a:blip>
        <a:stretch>
          <a:fillRect/>
        </a:stretch>
      </xdr:blipFill>
      <xdr:spPr>
        <a:xfrm>
          <a:off x="21338316" y="11380801"/>
          <a:ext cx="1187390" cy="839383"/>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1</xdr:col>
      <xdr:colOff>149678</xdr:colOff>
      <xdr:row>0</xdr:row>
      <xdr:rowOff>68249</xdr:rowOff>
    </xdr:from>
    <xdr:to>
      <xdr:col>1</xdr:col>
      <xdr:colOff>1109988</xdr:colOff>
      <xdr:row>3</xdr:row>
      <xdr:rowOff>187687</xdr:rowOff>
    </xdr:to>
    <xdr:pic>
      <xdr:nvPicPr>
        <xdr:cNvPr id="2" name="Imagen 1">
          <a:extLst>
            <a:ext uri="{FF2B5EF4-FFF2-40B4-BE49-F238E27FC236}">
              <a16:creationId xmlns:a16="http://schemas.microsoft.com/office/drawing/2014/main" id="{888C4864-4B18-4AFD-A8FC-BCFB7FFD5D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7303" y="68249"/>
          <a:ext cx="960310" cy="7766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23</xdr:col>
      <xdr:colOff>407169</xdr:colOff>
      <xdr:row>0</xdr:row>
      <xdr:rowOff>112059</xdr:rowOff>
    </xdr:from>
    <xdr:ext cx="1180186" cy="820173"/>
    <xdr:pic>
      <xdr:nvPicPr>
        <xdr:cNvPr id="3" name="Imagen 2">
          <a:extLst>
            <a:ext uri="{FF2B5EF4-FFF2-40B4-BE49-F238E27FC236}">
              <a16:creationId xmlns:a16="http://schemas.microsoft.com/office/drawing/2014/main" id="{9EA42E8B-BB6F-4608-B186-D67BFF13B11D}"/>
            </a:ext>
          </a:extLst>
        </xdr:cNvPr>
        <xdr:cNvPicPr>
          <a:picLocks noChangeAspect="1"/>
        </xdr:cNvPicPr>
      </xdr:nvPicPr>
      <xdr:blipFill>
        <a:blip xmlns:r="http://schemas.openxmlformats.org/officeDocument/2006/relationships" r:embed="rId2">
          <a:duotone>
            <a:schemeClr val="accent5">
              <a:shade val="45000"/>
              <a:satMod val="135000"/>
            </a:schemeClr>
            <a:prstClr val="white"/>
          </a:duotone>
        </a:blip>
        <a:stretch>
          <a:fillRect/>
        </a:stretch>
      </xdr:blipFill>
      <xdr:spPr>
        <a:xfrm>
          <a:off x="20838294" y="112059"/>
          <a:ext cx="1180186" cy="820173"/>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523875</xdr:colOff>
      <xdr:row>20</xdr:row>
      <xdr:rowOff>66675</xdr:rowOff>
    </xdr:from>
    <xdr:to>
      <xdr:col>13</xdr:col>
      <xdr:colOff>190500</xdr:colOff>
      <xdr:row>34</xdr:row>
      <xdr:rowOff>118727</xdr:rowOff>
    </xdr:to>
    <xdr:pic>
      <xdr:nvPicPr>
        <xdr:cNvPr id="2" name="1 Imagen">
          <a:extLst>
            <a:ext uri="{FF2B5EF4-FFF2-40B4-BE49-F238E27FC236}">
              <a16:creationId xmlns:a16="http://schemas.microsoft.com/office/drawing/2014/main" id="{3F67169B-F051-4C82-9B90-9549E973D096}"/>
            </a:ext>
          </a:extLst>
        </xdr:cNvPr>
        <xdr:cNvPicPr>
          <a:picLocks noChangeAspect="1"/>
        </xdr:cNvPicPr>
      </xdr:nvPicPr>
      <xdr:blipFill>
        <a:blip xmlns:r="http://schemas.openxmlformats.org/officeDocument/2006/relationships" r:embed="rId1"/>
        <a:stretch>
          <a:fillRect/>
        </a:stretch>
      </xdr:blipFill>
      <xdr:spPr>
        <a:xfrm>
          <a:off x="381000" y="4067175"/>
          <a:ext cx="9334500" cy="2719052"/>
        </a:xfrm>
        <a:prstGeom prst="rect">
          <a:avLst/>
        </a:prstGeom>
      </xdr:spPr>
    </xdr:pic>
    <xdr:clientData/>
  </xdr:twoCellAnchor>
  <xdr:twoCellAnchor>
    <xdr:from>
      <xdr:col>0</xdr:col>
      <xdr:colOff>378584</xdr:colOff>
      <xdr:row>1</xdr:row>
      <xdr:rowOff>4761</xdr:rowOff>
    </xdr:from>
    <xdr:to>
      <xdr:col>1</xdr:col>
      <xdr:colOff>2347</xdr:colOff>
      <xdr:row>2</xdr:row>
      <xdr:rowOff>0</xdr:rowOff>
    </xdr:to>
    <xdr:grpSp>
      <xdr:nvGrpSpPr>
        <xdr:cNvPr id="3" name="26 Grupo">
          <a:extLst>
            <a:ext uri="{FF2B5EF4-FFF2-40B4-BE49-F238E27FC236}">
              <a16:creationId xmlns:a16="http://schemas.microsoft.com/office/drawing/2014/main" id="{AA1F7648-CC68-4114-A185-5FE4CBFDC05B}"/>
            </a:ext>
          </a:extLst>
        </xdr:cNvPr>
        <xdr:cNvGrpSpPr/>
      </xdr:nvGrpSpPr>
      <xdr:grpSpPr>
        <a:xfrm>
          <a:off x="378584" y="222475"/>
          <a:ext cx="4763" cy="212954"/>
          <a:chOff x="59531" y="547694"/>
          <a:chExt cx="1128713" cy="776288"/>
        </a:xfrm>
      </xdr:grpSpPr>
      <xdr:pic>
        <xdr:nvPicPr>
          <xdr:cNvPr id="4" name="Objeto 15">
            <a:extLst>
              <a:ext uri="{FF2B5EF4-FFF2-40B4-BE49-F238E27FC236}">
                <a16:creationId xmlns:a16="http://schemas.microsoft.com/office/drawing/2014/main" id="{BB46DE2E-6D59-1AF4-79B1-9A3E2E3901B1}"/>
              </a:ext>
            </a:extLst>
          </xdr:cNvPr>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12059" t="-28506" r="-12891" b="-34616"/>
          <a:stretch>
            <a:fillRect/>
          </a:stretch>
        </xdr:blipFill>
        <xdr:spPr bwMode="auto">
          <a:xfrm>
            <a:off x="59531" y="966794"/>
            <a:ext cx="1128713" cy="3571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5" name="Picture 4">
            <a:extLst>
              <a:ext uri="{FF2B5EF4-FFF2-40B4-BE49-F238E27FC236}">
                <a16:creationId xmlns:a16="http://schemas.microsoft.com/office/drawing/2014/main" id="{A2B9BFFF-3298-2DB3-8501-2D087F3F5966}"/>
              </a:ext>
            </a:extLst>
          </xdr:cNvPr>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64331" y="547694"/>
            <a:ext cx="461963"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editAs="oneCell">
    <xdr:from>
      <xdr:col>11</xdr:col>
      <xdr:colOff>647294</xdr:colOff>
      <xdr:row>0</xdr:row>
      <xdr:rowOff>81644</xdr:rowOff>
    </xdr:from>
    <xdr:to>
      <xdr:col>13</xdr:col>
      <xdr:colOff>303480</xdr:colOff>
      <xdr:row>4</xdr:row>
      <xdr:rowOff>30960</xdr:rowOff>
    </xdr:to>
    <xdr:pic>
      <xdr:nvPicPr>
        <xdr:cNvPr id="6" name="Imagen 5">
          <a:extLst>
            <a:ext uri="{FF2B5EF4-FFF2-40B4-BE49-F238E27FC236}">
              <a16:creationId xmlns:a16="http://schemas.microsoft.com/office/drawing/2014/main" id="{025A0575-8BA7-45E0-A9C1-265FB9C334E4}"/>
            </a:ext>
          </a:extLst>
        </xdr:cNvPr>
        <xdr:cNvPicPr>
          <a:picLocks noChangeAspect="1"/>
        </xdr:cNvPicPr>
      </xdr:nvPicPr>
      <xdr:blipFill>
        <a:blip xmlns:r="http://schemas.openxmlformats.org/officeDocument/2006/relationships" r:embed="rId4">
          <a:duotone>
            <a:schemeClr val="accent5">
              <a:shade val="45000"/>
              <a:satMod val="135000"/>
            </a:schemeClr>
            <a:prstClr val="white"/>
          </a:duotone>
        </a:blip>
        <a:stretch>
          <a:fillRect/>
        </a:stretch>
      </xdr:blipFill>
      <xdr:spPr>
        <a:xfrm>
          <a:off x="8648294" y="81644"/>
          <a:ext cx="1180186" cy="825616"/>
        </a:xfrm>
        <a:prstGeom prst="rect">
          <a:avLst/>
        </a:prstGeom>
      </xdr:spPr>
    </xdr:pic>
    <xdr:clientData/>
  </xdr:twoCellAnchor>
  <xdr:twoCellAnchor editAs="oneCell">
    <xdr:from>
      <xdr:col>0</xdr:col>
      <xdr:colOff>312965</xdr:colOff>
      <xdr:row>0</xdr:row>
      <xdr:rowOff>149893</xdr:rowOff>
    </xdr:from>
    <xdr:to>
      <xdr:col>2</xdr:col>
      <xdr:colOff>130275</xdr:colOff>
      <xdr:row>4</xdr:row>
      <xdr:rowOff>51617</xdr:rowOff>
    </xdr:to>
    <xdr:pic>
      <xdr:nvPicPr>
        <xdr:cNvPr id="7" name="Imagen 6">
          <a:extLst>
            <a:ext uri="{FF2B5EF4-FFF2-40B4-BE49-F238E27FC236}">
              <a16:creationId xmlns:a16="http://schemas.microsoft.com/office/drawing/2014/main" id="{88ED1E0B-18A8-47D9-8ADB-FAFC544B1292}"/>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312965" y="149893"/>
          <a:ext cx="960310" cy="7780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378584</xdr:colOff>
      <xdr:row>1</xdr:row>
      <xdr:rowOff>4761</xdr:rowOff>
    </xdr:from>
    <xdr:to>
      <xdr:col>1</xdr:col>
      <xdr:colOff>2347</xdr:colOff>
      <xdr:row>2</xdr:row>
      <xdr:rowOff>0</xdr:rowOff>
    </xdr:to>
    <xdr:grpSp>
      <xdr:nvGrpSpPr>
        <xdr:cNvPr id="2" name="26 Grupo">
          <a:extLst>
            <a:ext uri="{FF2B5EF4-FFF2-40B4-BE49-F238E27FC236}">
              <a16:creationId xmlns:a16="http://schemas.microsoft.com/office/drawing/2014/main" id="{986A19C4-871B-4C92-9FBF-4F8ED8FC726F}"/>
            </a:ext>
          </a:extLst>
        </xdr:cNvPr>
        <xdr:cNvGrpSpPr/>
      </xdr:nvGrpSpPr>
      <xdr:grpSpPr>
        <a:xfrm>
          <a:off x="378584" y="222475"/>
          <a:ext cx="4763" cy="212954"/>
          <a:chOff x="59531" y="547694"/>
          <a:chExt cx="1128713" cy="776288"/>
        </a:xfrm>
      </xdr:grpSpPr>
      <xdr:pic>
        <xdr:nvPicPr>
          <xdr:cNvPr id="3" name="Objeto 15">
            <a:extLst>
              <a:ext uri="{FF2B5EF4-FFF2-40B4-BE49-F238E27FC236}">
                <a16:creationId xmlns:a16="http://schemas.microsoft.com/office/drawing/2014/main" id="{1B9B2733-A43B-590E-4E3F-2CF9309FBA04}"/>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2059" t="-28506" r="-12891" b="-34616"/>
          <a:stretch>
            <a:fillRect/>
          </a:stretch>
        </xdr:blipFill>
        <xdr:spPr bwMode="auto">
          <a:xfrm>
            <a:off x="59531" y="966794"/>
            <a:ext cx="1128713" cy="3571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 name="Picture 4">
            <a:extLst>
              <a:ext uri="{FF2B5EF4-FFF2-40B4-BE49-F238E27FC236}">
                <a16:creationId xmlns:a16="http://schemas.microsoft.com/office/drawing/2014/main" id="{11B49D4F-F212-3013-4346-325CEFFAAFA6}"/>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64331" y="547694"/>
            <a:ext cx="461963"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editAs="oneCell">
    <xdr:from>
      <xdr:col>1</xdr:col>
      <xdr:colOff>200025</xdr:colOff>
      <xdr:row>21</xdr:row>
      <xdr:rowOff>114300</xdr:rowOff>
    </xdr:from>
    <xdr:to>
      <xdr:col>7</xdr:col>
      <xdr:colOff>633182</xdr:colOff>
      <xdr:row>34</xdr:row>
      <xdr:rowOff>95250</xdr:rowOff>
    </xdr:to>
    <xdr:pic>
      <xdr:nvPicPr>
        <xdr:cNvPr id="5" name="Imagen 4">
          <a:extLst>
            <a:ext uri="{FF2B5EF4-FFF2-40B4-BE49-F238E27FC236}">
              <a16:creationId xmlns:a16="http://schemas.microsoft.com/office/drawing/2014/main" id="{8A19751B-059E-404C-8D1B-D231A4A10848}"/>
            </a:ext>
          </a:extLst>
        </xdr:cNvPr>
        <xdr:cNvPicPr>
          <a:picLocks noChangeAspect="1"/>
        </xdr:cNvPicPr>
      </xdr:nvPicPr>
      <xdr:blipFill>
        <a:blip xmlns:r="http://schemas.openxmlformats.org/officeDocument/2006/relationships" r:embed="rId3"/>
        <a:stretch>
          <a:fillRect/>
        </a:stretch>
      </xdr:blipFill>
      <xdr:spPr>
        <a:xfrm>
          <a:off x="581025" y="4276725"/>
          <a:ext cx="5005157" cy="2457450"/>
        </a:xfrm>
        <a:prstGeom prst="rect">
          <a:avLst/>
        </a:prstGeom>
      </xdr:spPr>
    </xdr:pic>
    <xdr:clientData/>
  </xdr:twoCellAnchor>
  <xdr:twoCellAnchor editAs="oneCell">
    <xdr:from>
      <xdr:col>11</xdr:col>
      <xdr:colOff>620078</xdr:colOff>
      <xdr:row>0</xdr:row>
      <xdr:rowOff>27215</xdr:rowOff>
    </xdr:from>
    <xdr:to>
      <xdr:col>13</xdr:col>
      <xdr:colOff>276264</xdr:colOff>
      <xdr:row>3</xdr:row>
      <xdr:rowOff>194245</xdr:rowOff>
    </xdr:to>
    <xdr:pic>
      <xdr:nvPicPr>
        <xdr:cNvPr id="6" name="Imagen 5">
          <a:extLst>
            <a:ext uri="{FF2B5EF4-FFF2-40B4-BE49-F238E27FC236}">
              <a16:creationId xmlns:a16="http://schemas.microsoft.com/office/drawing/2014/main" id="{1F55BD79-2E80-4709-86F1-178547FA165E}"/>
            </a:ext>
          </a:extLst>
        </xdr:cNvPr>
        <xdr:cNvPicPr>
          <a:picLocks noChangeAspect="1"/>
        </xdr:cNvPicPr>
      </xdr:nvPicPr>
      <xdr:blipFill>
        <a:blip xmlns:r="http://schemas.openxmlformats.org/officeDocument/2006/relationships" r:embed="rId4">
          <a:duotone>
            <a:schemeClr val="accent5">
              <a:shade val="45000"/>
              <a:satMod val="135000"/>
            </a:schemeClr>
            <a:prstClr val="white"/>
          </a:duotone>
        </a:blip>
        <a:stretch>
          <a:fillRect/>
        </a:stretch>
      </xdr:blipFill>
      <xdr:spPr>
        <a:xfrm>
          <a:off x="8621078" y="27215"/>
          <a:ext cx="1180186" cy="824255"/>
        </a:xfrm>
        <a:prstGeom prst="rect">
          <a:avLst/>
        </a:prstGeom>
      </xdr:spPr>
    </xdr:pic>
    <xdr:clientData/>
  </xdr:twoCellAnchor>
  <xdr:twoCellAnchor editAs="oneCell">
    <xdr:from>
      <xdr:col>0</xdr:col>
      <xdr:colOff>299357</xdr:colOff>
      <xdr:row>0</xdr:row>
      <xdr:rowOff>68249</xdr:rowOff>
    </xdr:from>
    <xdr:to>
      <xdr:col>2</xdr:col>
      <xdr:colOff>116667</xdr:colOff>
      <xdr:row>3</xdr:row>
      <xdr:rowOff>187687</xdr:rowOff>
    </xdr:to>
    <xdr:pic>
      <xdr:nvPicPr>
        <xdr:cNvPr id="7" name="Imagen 6">
          <a:extLst>
            <a:ext uri="{FF2B5EF4-FFF2-40B4-BE49-F238E27FC236}">
              <a16:creationId xmlns:a16="http://schemas.microsoft.com/office/drawing/2014/main" id="{A9053A6A-6972-4F5E-B966-07F9546A8566}"/>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299357" y="68249"/>
          <a:ext cx="960310" cy="7766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378584</xdr:colOff>
      <xdr:row>1</xdr:row>
      <xdr:rowOff>4761</xdr:rowOff>
    </xdr:from>
    <xdr:to>
      <xdr:col>1</xdr:col>
      <xdr:colOff>2347</xdr:colOff>
      <xdr:row>2</xdr:row>
      <xdr:rowOff>0</xdr:rowOff>
    </xdr:to>
    <xdr:grpSp>
      <xdr:nvGrpSpPr>
        <xdr:cNvPr id="2" name="26 Grupo">
          <a:extLst>
            <a:ext uri="{FF2B5EF4-FFF2-40B4-BE49-F238E27FC236}">
              <a16:creationId xmlns:a16="http://schemas.microsoft.com/office/drawing/2014/main" id="{C733C563-E70B-4C4E-8D59-E95754E68312}"/>
            </a:ext>
          </a:extLst>
        </xdr:cNvPr>
        <xdr:cNvGrpSpPr/>
      </xdr:nvGrpSpPr>
      <xdr:grpSpPr>
        <a:xfrm>
          <a:off x="378584" y="223836"/>
          <a:ext cx="4763" cy="214314"/>
          <a:chOff x="59531" y="547694"/>
          <a:chExt cx="1128713" cy="776288"/>
        </a:xfrm>
      </xdr:grpSpPr>
      <xdr:pic>
        <xdr:nvPicPr>
          <xdr:cNvPr id="3" name="Objeto 15">
            <a:extLst>
              <a:ext uri="{FF2B5EF4-FFF2-40B4-BE49-F238E27FC236}">
                <a16:creationId xmlns:a16="http://schemas.microsoft.com/office/drawing/2014/main" id="{3AE0CC49-79F9-AEE5-E765-0AA1EDAA5E43}"/>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2059" t="-28506" r="-12891" b="-34616"/>
          <a:stretch>
            <a:fillRect/>
          </a:stretch>
        </xdr:blipFill>
        <xdr:spPr bwMode="auto">
          <a:xfrm>
            <a:off x="59531" y="966794"/>
            <a:ext cx="1128713" cy="3571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 name="Picture 4">
            <a:extLst>
              <a:ext uri="{FF2B5EF4-FFF2-40B4-BE49-F238E27FC236}">
                <a16:creationId xmlns:a16="http://schemas.microsoft.com/office/drawing/2014/main" id="{B3514A8B-2A8B-F5E1-9038-5EA2D2F16AA4}"/>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64331" y="547694"/>
            <a:ext cx="461963"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editAs="oneCell">
    <xdr:from>
      <xdr:col>11</xdr:col>
      <xdr:colOff>674507</xdr:colOff>
      <xdr:row>0</xdr:row>
      <xdr:rowOff>54429</xdr:rowOff>
    </xdr:from>
    <xdr:to>
      <xdr:col>13</xdr:col>
      <xdr:colOff>330693</xdr:colOff>
      <xdr:row>4</xdr:row>
      <xdr:rowOff>3745</xdr:rowOff>
    </xdr:to>
    <xdr:pic>
      <xdr:nvPicPr>
        <xdr:cNvPr id="5" name="Imagen 4">
          <a:extLst>
            <a:ext uri="{FF2B5EF4-FFF2-40B4-BE49-F238E27FC236}">
              <a16:creationId xmlns:a16="http://schemas.microsoft.com/office/drawing/2014/main" id="{6300F059-29C7-4242-88B4-94EBC83C1179}"/>
            </a:ext>
          </a:extLst>
        </xdr:cNvPr>
        <xdr:cNvPicPr>
          <a:picLocks noChangeAspect="1"/>
        </xdr:cNvPicPr>
      </xdr:nvPicPr>
      <xdr:blipFill>
        <a:blip xmlns:r="http://schemas.openxmlformats.org/officeDocument/2006/relationships" r:embed="rId3">
          <a:duotone>
            <a:schemeClr val="accent5">
              <a:shade val="45000"/>
              <a:satMod val="135000"/>
            </a:schemeClr>
            <a:prstClr val="white"/>
          </a:duotone>
        </a:blip>
        <a:stretch>
          <a:fillRect/>
        </a:stretch>
      </xdr:blipFill>
      <xdr:spPr>
        <a:xfrm>
          <a:off x="8675507" y="54429"/>
          <a:ext cx="1180186" cy="825616"/>
        </a:xfrm>
        <a:prstGeom prst="rect">
          <a:avLst/>
        </a:prstGeom>
      </xdr:spPr>
    </xdr:pic>
    <xdr:clientData/>
  </xdr:twoCellAnchor>
  <xdr:twoCellAnchor editAs="oneCell">
    <xdr:from>
      <xdr:col>0</xdr:col>
      <xdr:colOff>231321</xdr:colOff>
      <xdr:row>0</xdr:row>
      <xdr:rowOff>68249</xdr:rowOff>
    </xdr:from>
    <xdr:to>
      <xdr:col>2</xdr:col>
      <xdr:colOff>48631</xdr:colOff>
      <xdr:row>3</xdr:row>
      <xdr:rowOff>187687</xdr:rowOff>
    </xdr:to>
    <xdr:pic>
      <xdr:nvPicPr>
        <xdr:cNvPr id="6" name="Imagen 5">
          <a:extLst>
            <a:ext uri="{FF2B5EF4-FFF2-40B4-BE49-F238E27FC236}">
              <a16:creationId xmlns:a16="http://schemas.microsoft.com/office/drawing/2014/main" id="{D93EBD68-089D-4BA3-A454-D2E9131097D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31321" y="68249"/>
          <a:ext cx="960310" cy="7766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ilesvr01\Direccion_Estudios_Sectoriales\Bases%20de%20datos\Informaci&#243;n%20municipal\Reportes%20municipales\Reporte%20municipal.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ilesvr01\Direccion_Estudios_Sectoriales\VINCULOS%20PAIS%20Y%20DEPTO.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Bases%20de%20datos/Nuevo%20documento%20Metas/01%20Homicidio%20-%20Documento%20base%20v3%20-%20municipal.xlsx" TargetMode="External"/><Relationship Id="rId2" Type="http://schemas.openxmlformats.org/officeDocument/2006/relationships/externalLinkPath" Target="file:///\\filesvr01\Direccion_Estudios_Sectoriales\Bases%20de%20datos\Nuevo%20documento%20Metas\01%20Homicidio%20-%20Documento%20base%20v3%20-%20municipal.xlsx" TargetMode="External"/><Relationship Id="rId1" Type="http://schemas.openxmlformats.org/officeDocument/2006/relationships/externalLinkPath" Target="/Bases%20de%20datos/Nuevo%20documento%20Metas/01%20Homicidio%20-%20Documento%20base%20v3%20-%20municipal.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filesvr01\Direccion_Estudios_Sectoriales\GIE\Datos\carpeta%20de%20prueba\4.%20AN&#193;LISIS%20DE%20INFORMACI&#211;N\BENETTON\Benetton%20mensual%20v4.xlsx" TargetMode="External"/><Relationship Id="rId1" Type="http://schemas.openxmlformats.org/officeDocument/2006/relationships/externalLinkPath" Target="file:///\\filesvr01\Direccion_Estudios_Sectoriales\GIE\Datos\carpeta%20de%20prueba\4.%20AN&#193;LISIS%20DE%20INFORMACI&#211;N\BENETTON\Benetton%20mensual%20v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a"/>
      <sheetName val="Población"/>
      <sheetName val="Hoja6"/>
      <sheetName val="Tablas"/>
      <sheetName val="Listas"/>
      <sheetName val="TabMun"/>
      <sheetName val="Población DEP"/>
    </sheetNames>
    <sheetDataSet>
      <sheetData sheetId="0" refreshError="1"/>
      <sheetData sheetId="1" refreshError="1"/>
      <sheetData sheetId="2" refreshError="1"/>
      <sheetData sheetId="3" refreshError="1"/>
      <sheetData sheetId="4">
        <row r="2">
          <cell r="P2" t="str">
            <v>AMAZONAS</v>
          </cell>
        </row>
        <row r="3">
          <cell r="P3" t="str">
            <v>ANTIOQUIA</v>
          </cell>
        </row>
        <row r="4">
          <cell r="P4" t="str">
            <v>ARAUCA</v>
          </cell>
        </row>
        <row r="5">
          <cell r="P5" t="str">
            <v>ATLÁNTICO</v>
          </cell>
        </row>
        <row r="6">
          <cell r="P6" t="str">
            <v>BOGOTÁ D.C.</v>
          </cell>
        </row>
        <row r="7">
          <cell r="P7" t="str">
            <v>BOLÍVAR</v>
          </cell>
        </row>
        <row r="8">
          <cell r="P8" t="str">
            <v>BOYACÁ</v>
          </cell>
        </row>
        <row r="9">
          <cell r="P9" t="str">
            <v>CALDAS</v>
          </cell>
        </row>
        <row r="10">
          <cell r="P10" t="str">
            <v>CAQUETÁ</v>
          </cell>
        </row>
        <row r="11">
          <cell r="P11" t="str">
            <v>CASANARE</v>
          </cell>
        </row>
        <row r="12">
          <cell r="P12" t="str">
            <v>CAUCA</v>
          </cell>
        </row>
        <row r="13">
          <cell r="P13" t="str">
            <v>CESAR</v>
          </cell>
        </row>
        <row r="14">
          <cell r="P14" t="str">
            <v>CHOCÓ</v>
          </cell>
        </row>
        <row r="15">
          <cell r="P15" t="str">
            <v>CÓRDOBA</v>
          </cell>
        </row>
        <row r="16">
          <cell r="P16" t="str">
            <v>CUNDINAMARCA</v>
          </cell>
        </row>
        <row r="17">
          <cell r="P17" t="str">
            <v>GUAINÍA</v>
          </cell>
        </row>
        <row r="18">
          <cell r="P18" t="str">
            <v>GUAVIARE</v>
          </cell>
        </row>
        <row r="19">
          <cell r="P19" t="str">
            <v>HUILA</v>
          </cell>
        </row>
        <row r="20">
          <cell r="P20" t="str">
            <v>LA GUAJIRA</v>
          </cell>
        </row>
        <row r="21">
          <cell r="P21" t="str">
            <v>MAGDALENA</v>
          </cell>
        </row>
        <row r="22">
          <cell r="P22" t="str">
            <v>META</v>
          </cell>
        </row>
        <row r="23">
          <cell r="P23" t="str">
            <v>NARIÑO</v>
          </cell>
        </row>
        <row r="24">
          <cell r="P24" t="str">
            <v>NORTE DE SANTANDER</v>
          </cell>
        </row>
        <row r="25">
          <cell r="P25" t="str">
            <v>PUTUMAYO</v>
          </cell>
        </row>
        <row r="26">
          <cell r="P26" t="str">
            <v>QUINDÍO</v>
          </cell>
        </row>
        <row r="27">
          <cell r="P27" t="str">
            <v>RISARALDA</v>
          </cell>
        </row>
        <row r="28">
          <cell r="P28" t="str">
            <v>SAN ANDRÉS ISLAS</v>
          </cell>
        </row>
        <row r="29">
          <cell r="P29" t="str">
            <v>SANTANDER</v>
          </cell>
        </row>
        <row r="30">
          <cell r="P30" t="str">
            <v>SUCRE</v>
          </cell>
        </row>
        <row r="31">
          <cell r="P31" t="str">
            <v>TOLIMA</v>
          </cell>
        </row>
        <row r="32">
          <cell r="P32" t="str">
            <v>VALLE DEL CAUCA</v>
          </cell>
        </row>
        <row r="33">
          <cell r="P33" t="str">
            <v>VAUPÉS</v>
          </cell>
        </row>
        <row r="34">
          <cell r="P34" t="str">
            <v>VICHADA</v>
          </cell>
        </row>
        <row r="35">
          <cell r="P35" t="str">
            <v>NACIONAL</v>
          </cell>
        </row>
      </sheetData>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iculos"/>
      <sheetName val="NACIONAL"/>
      <sheetName val="FICHA NACIONAL"/>
      <sheetName val="DELITOS NORMAL"/>
      <sheetName val="TOP NAL"/>
      <sheetName val="DEPTO"/>
      <sheetName val="FICHA DEPTO"/>
      <sheetName val="TOP DEPTO"/>
      <sheetName val="MPIO"/>
      <sheetName val="FICHA MPIO"/>
      <sheetName val="CAPITALES"/>
      <sheetName val="NACIONAL (2)"/>
      <sheetName val="Listas"/>
      <sheetName val="Lista MP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atos de entrada"/>
      <sheetName val="Históricos"/>
      <sheetName val="Hoja1"/>
      <sheetName val="calculos"/>
      <sheetName val="Metas"/>
      <sheetName val="Población"/>
      <sheetName val="PoblacionSelec"/>
      <sheetName val="Tablas"/>
      <sheetName val="Listas"/>
      <sheetName val="TabMun"/>
      <sheetName val="Datos"/>
      <sheetName val="TablaDatos"/>
      <sheetName val="Fechas"/>
      <sheetName val="Cuadros de salida"/>
      <sheetName val="Semaforos"/>
    </sheetNames>
    <sheetDataSet>
      <sheetData sheetId="0"/>
      <sheetData sheetId="1"/>
      <sheetData sheetId="2"/>
      <sheetData sheetId="3"/>
      <sheetData sheetId="4"/>
      <sheetData sheetId="5"/>
      <sheetData sheetId="6"/>
      <sheetData sheetId="7"/>
      <sheetData sheetId="8">
        <row r="2">
          <cell r="P2" t="str">
            <v>AMAZONAS</v>
          </cell>
        </row>
      </sheetData>
      <sheetData sheetId="9"/>
      <sheetData sheetId="10"/>
      <sheetData sheetId="11"/>
      <sheetData sheetId="12">
        <row r="2">
          <cell r="I2" t="str">
            <v>Ene</v>
          </cell>
          <cell r="J2" t="str">
            <v>Enero</v>
          </cell>
        </row>
        <row r="3">
          <cell r="I3" t="str">
            <v>Feb</v>
          </cell>
          <cell r="J3" t="str">
            <v>Febrero</v>
          </cell>
        </row>
        <row r="4">
          <cell r="I4" t="str">
            <v>Mar</v>
          </cell>
          <cell r="J4" t="str">
            <v>Marzo</v>
          </cell>
        </row>
        <row r="5">
          <cell r="I5" t="str">
            <v>Abr</v>
          </cell>
          <cell r="J5" t="str">
            <v>Abril</v>
          </cell>
        </row>
        <row r="6">
          <cell r="I6" t="str">
            <v>May</v>
          </cell>
          <cell r="J6" t="str">
            <v>Mayo</v>
          </cell>
        </row>
        <row r="7">
          <cell r="I7" t="str">
            <v>Jun</v>
          </cell>
          <cell r="J7" t="str">
            <v>Junio</v>
          </cell>
        </row>
        <row r="8">
          <cell r="I8" t="str">
            <v>Jul</v>
          </cell>
          <cell r="J8" t="str">
            <v>Julio</v>
          </cell>
        </row>
        <row r="9">
          <cell r="I9" t="str">
            <v>Ago</v>
          </cell>
          <cell r="J9" t="str">
            <v>Agosto</v>
          </cell>
        </row>
        <row r="10">
          <cell r="I10" t="str">
            <v>Sep</v>
          </cell>
          <cell r="J10" t="str">
            <v>Septiembre</v>
          </cell>
        </row>
        <row r="11">
          <cell r="I11" t="str">
            <v>Oct</v>
          </cell>
          <cell r="J11" t="str">
            <v>Octubre</v>
          </cell>
        </row>
        <row r="12">
          <cell r="I12" t="str">
            <v>Nov</v>
          </cell>
          <cell r="J12" t="str">
            <v>Noviembre</v>
          </cell>
        </row>
        <row r="13">
          <cell r="I13" t="str">
            <v>Dic</v>
          </cell>
          <cell r="J13" t="str">
            <v>Diciembre</v>
          </cell>
        </row>
      </sheetData>
      <sheetData sheetId="13"/>
      <sheetData sheetId="1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NEL"/>
      <sheetName val="Año corrido"/>
      <sheetName val="Año corrido tasa"/>
      <sheetName val="Año completo"/>
      <sheetName val="Año completo tasa"/>
      <sheetName val="METODOLOGÍA A DENUNCIAR"/>
      <sheetName val="NUEVA METODOLOGIA FGN"/>
      <sheetName val="ACLARACIONES METODOLÓGICAS"/>
      <sheetName val="TD corrido"/>
      <sheetName val="TD completo"/>
      <sheetName val="poblacion"/>
      <sheetName val="calendario"/>
    </sheetNames>
    <sheetDataSet>
      <sheetData sheetId="0">
        <row r="8">
          <cell r="Y8" t="str">
            <v>enero</v>
          </cell>
        </row>
        <row r="9">
          <cell r="Y9" t="str">
            <v>febrero</v>
          </cell>
        </row>
        <row r="10">
          <cell r="Y10" t="str">
            <v>marzo</v>
          </cell>
        </row>
        <row r="11">
          <cell r="Y11" t="str">
            <v>abril</v>
          </cell>
        </row>
        <row r="12">
          <cell r="Y12" t="str">
            <v>mayo</v>
          </cell>
        </row>
        <row r="13">
          <cell r="Y13" t="str">
            <v>junio</v>
          </cell>
        </row>
        <row r="14">
          <cell r="Y14" t="str">
            <v>julio</v>
          </cell>
        </row>
        <row r="15">
          <cell r="Y15" t="str">
            <v>agosto</v>
          </cell>
        </row>
      </sheetData>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3927A-01B5-4CD8-9AB7-6FFCEFDCDC3D}">
  <dimension ref="A1:AA110"/>
  <sheetViews>
    <sheetView showGridLines="0" tabSelected="1" zoomScale="70" zoomScaleNormal="70" zoomScaleSheetLayoutView="85" zoomScalePageLayoutView="40" workbookViewId="0">
      <selection activeCell="Z56" sqref="Z56"/>
    </sheetView>
  </sheetViews>
  <sheetFormatPr baseColWidth="10" defaultRowHeight="15" x14ac:dyDescent="0.25"/>
  <cols>
    <col min="1" max="1" width="1.28515625" customWidth="1"/>
    <col min="2" max="2" width="55.28515625" customWidth="1"/>
    <col min="3" max="4" width="11.42578125" customWidth="1"/>
    <col min="5" max="20" width="13.7109375" customWidth="1"/>
    <col min="21" max="22" width="13.7109375" style="1" customWidth="1"/>
    <col min="23" max="23" width="13.28515625" style="1" customWidth="1"/>
    <col min="24" max="24" width="12.7109375" style="1" customWidth="1"/>
    <col min="25" max="25" width="13.28515625" style="1" customWidth="1"/>
    <col min="26" max="26" width="13.140625" style="1" customWidth="1"/>
  </cols>
  <sheetData>
    <row r="1" spans="2:26" ht="17.25" x14ac:dyDescent="0.3">
      <c r="B1" s="41" t="s">
        <v>0</v>
      </c>
      <c r="C1" s="41"/>
      <c r="D1" s="41"/>
      <c r="E1" s="41"/>
      <c r="F1" s="41"/>
      <c r="G1" s="41"/>
      <c r="H1" s="41"/>
      <c r="I1" s="41"/>
      <c r="J1" s="41"/>
      <c r="K1" s="41"/>
      <c r="L1" s="41"/>
      <c r="M1" s="41"/>
      <c r="N1" s="41"/>
      <c r="O1" s="41"/>
      <c r="P1" s="41"/>
      <c r="Q1" s="41"/>
      <c r="R1" s="41"/>
      <c r="S1" s="41"/>
      <c r="T1" s="41"/>
      <c r="U1" s="41"/>
    </row>
    <row r="2" spans="2:26" ht="17.25" x14ac:dyDescent="0.3">
      <c r="B2" s="41" t="s">
        <v>1</v>
      </c>
      <c r="C2" s="41"/>
      <c r="D2" s="41"/>
      <c r="E2" s="41"/>
      <c r="F2" s="41"/>
      <c r="G2" s="41"/>
      <c r="H2" s="41"/>
      <c r="I2" s="41"/>
      <c r="J2" s="41"/>
      <c r="K2" s="41"/>
      <c r="L2" s="41"/>
      <c r="M2" s="41"/>
      <c r="N2" s="41"/>
      <c r="O2" s="41"/>
      <c r="P2" s="41"/>
      <c r="Q2" s="41"/>
      <c r="R2" s="41"/>
      <c r="S2" s="41"/>
      <c r="T2" s="41"/>
      <c r="U2" s="41"/>
    </row>
    <row r="3" spans="2:26" ht="17.25" x14ac:dyDescent="0.3">
      <c r="B3" s="42" t="s">
        <v>2</v>
      </c>
      <c r="C3" s="42"/>
      <c r="D3" s="42"/>
      <c r="E3" s="42"/>
      <c r="F3" s="42"/>
      <c r="G3" s="42"/>
      <c r="H3" s="42"/>
      <c r="I3" s="42"/>
      <c r="J3" s="42"/>
      <c r="K3" s="42"/>
      <c r="L3" s="42"/>
      <c r="M3" s="42"/>
      <c r="N3" s="42"/>
      <c r="O3" s="42"/>
      <c r="P3" s="42"/>
      <c r="Q3" s="42"/>
      <c r="R3" s="42"/>
      <c r="S3" s="42"/>
      <c r="T3" s="42"/>
      <c r="U3" s="42"/>
    </row>
    <row r="4" spans="2:26" ht="17.25" x14ac:dyDescent="0.3">
      <c r="B4" s="42" t="s">
        <v>3</v>
      </c>
      <c r="C4" s="42"/>
      <c r="D4" s="42"/>
      <c r="E4" s="42"/>
      <c r="F4" s="42"/>
      <c r="G4" s="42"/>
      <c r="H4" s="42"/>
      <c r="I4" s="42"/>
      <c r="J4" s="42"/>
      <c r="K4" s="42"/>
      <c r="L4" s="42"/>
      <c r="M4" s="42"/>
      <c r="N4" s="42"/>
      <c r="O4" s="42"/>
      <c r="P4" s="42"/>
      <c r="Q4" s="42"/>
      <c r="R4" s="42"/>
      <c r="S4" s="42"/>
      <c r="T4" s="42"/>
      <c r="U4" s="42"/>
    </row>
    <row r="5" spans="2:26" ht="18" thickBot="1" x14ac:dyDescent="0.35">
      <c r="B5" s="2" t="s">
        <v>4</v>
      </c>
      <c r="C5" s="2"/>
      <c r="D5" s="2"/>
      <c r="E5" s="2"/>
      <c r="F5" s="2"/>
      <c r="G5" s="2"/>
      <c r="H5" s="2"/>
      <c r="I5" s="2"/>
      <c r="J5" s="2"/>
      <c r="K5" s="2"/>
      <c r="L5" s="2"/>
      <c r="M5" s="2"/>
      <c r="N5" s="2"/>
      <c r="O5" s="2"/>
      <c r="P5" s="2"/>
      <c r="Q5" s="2"/>
      <c r="R5" s="2"/>
      <c r="S5" s="2"/>
      <c r="T5" s="2"/>
    </row>
    <row r="6" spans="2:26" ht="32.1" customHeight="1" thickBot="1" x14ac:dyDescent="0.3">
      <c r="B6" s="3" t="s">
        <v>5</v>
      </c>
      <c r="C6" s="4" t="str" cm="1">
        <f t="array" ref="C6">IF(COUNTA([4]PANEL!$Y$8:$Y$23)=1,_xlfn.CONCAT(PROPER(LEFT([4]PANEL!$Y$8,3))," - ",C108),_xlfn.CONCAT(PROPER(LEFT([4]PANEL!$Y$8,3))," - ",PROPER(LEFT(INDEX([4]PANEL!$Y$8:$Y$20,COUNTA([4]PANEL!$Y$8:$Y$20),1),3))," ",C108))</f>
        <v>Ene - Ago 2003</v>
      </c>
      <c r="D6" s="4" t="str" cm="1">
        <f t="array" ref="D6">IF(COUNTA([4]PANEL!$Y$8:$Y$23)=1,_xlfn.CONCAT(PROPER(LEFT([4]PANEL!$Y$8,3))," - ",D108),_xlfn.CONCAT(PROPER(LEFT([4]PANEL!$Y$8,3))," - ",PROPER(LEFT(INDEX([4]PANEL!$Y$8:$Y$20,COUNTA([4]PANEL!$Y$8:$Y$20),1),3))," ",D108))</f>
        <v>Ene - Ago 2004</v>
      </c>
      <c r="E6" s="4" t="str" cm="1">
        <f t="array" ref="E6">IF(COUNTA([4]PANEL!$Y$8:$Y$23)=1,_xlfn.CONCAT(PROPER(LEFT([4]PANEL!$Y$8,3))," - ",E108),_xlfn.CONCAT(PROPER(LEFT([4]PANEL!$Y$8,3))," - ",PROPER(LEFT(INDEX([4]PANEL!$Y$8:$Y$20,COUNTA([4]PANEL!$Y$8:$Y$20),1),3))," ",E108))</f>
        <v>Ene - Ago 2005</v>
      </c>
      <c r="F6" s="4" t="str" cm="1">
        <f t="array" ref="F6">IF(COUNTA([4]PANEL!$Y$8:$Y$23)=1,_xlfn.CONCAT(PROPER(LEFT([4]PANEL!$Y$8,3))," - ",F108),_xlfn.CONCAT(PROPER(LEFT([4]PANEL!$Y$8,3))," - ",PROPER(LEFT(INDEX([4]PANEL!$Y$8:$Y$20,COUNTA([4]PANEL!$Y$8:$Y$20),1),3))," ",F108))</f>
        <v>Ene - Ago 2006</v>
      </c>
      <c r="G6" s="4" t="str" cm="1">
        <f t="array" ref="G6">IF(COUNTA([4]PANEL!$Y$8:$Y$23)=1,_xlfn.CONCAT(PROPER(LEFT([4]PANEL!$Y$8,3))," - ",G108),_xlfn.CONCAT(PROPER(LEFT([4]PANEL!$Y$8,3))," - ",PROPER(LEFT(INDEX([4]PANEL!$Y$8:$Y$20,COUNTA([4]PANEL!$Y$8:$Y$20),1),3))," ",G108))</f>
        <v>Ene - Ago 2007</v>
      </c>
      <c r="H6" s="4" t="str" cm="1">
        <f t="array" ref="H6">IF(COUNTA([4]PANEL!$Y$8:$Y$23)=1,_xlfn.CONCAT(PROPER(LEFT([4]PANEL!$Y$8,3))," - ",H108),_xlfn.CONCAT(PROPER(LEFT([4]PANEL!$Y$8,3))," - ",PROPER(LEFT(INDEX([4]PANEL!$Y$8:$Y$20,COUNTA([4]PANEL!$Y$8:$Y$20),1),3))," ",H108))</f>
        <v>Ene - Ago 2008</v>
      </c>
      <c r="I6" s="4" t="str" cm="1">
        <f t="array" ref="I6">IF(COUNTA([4]PANEL!$Y$8:$Y$23)=1,_xlfn.CONCAT(PROPER(LEFT([4]PANEL!$Y$8,3))," - ",I108),_xlfn.CONCAT(PROPER(LEFT([4]PANEL!$Y$8,3))," - ",PROPER(LEFT(INDEX([4]PANEL!$Y$8:$Y$20,COUNTA([4]PANEL!$Y$8:$Y$20),1),3))," ",I108))</f>
        <v>Ene - Ago 2009</v>
      </c>
      <c r="J6" s="4" t="str" cm="1">
        <f t="array" ref="J6">IF(COUNTA([4]PANEL!$Y$8:$Y$23)=1,_xlfn.CONCAT(PROPER(LEFT([4]PANEL!$Y$8,3))," - ",J108),_xlfn.CONCAT(PROPER(LEFT([4]PANEL!$Y$8,3))," - ",PROPER(LEFT(INDEX([4]PANEL!$Y$8:$Y$20,COUNTA([4]PANEL!$Y$8:$Y$20),1),3))," ",J108))</f>
        <v>Ene - Ago 2010</v>
      </c>
      <c r="K6" s="4" t="str" cm="1">
        <f t="array" ref="K6">IF(COUNTA([4]PANEL!$Y$8:$Y$23)=1,_xlfn.CONCAT(PROPER(LEFT([4]PANEL!$Y$8,3))," - ",K108),_xlfn.CONCAT(PROPER(LEFT([4]PANEL!$Y$8,3))," - ",PROPER(LEFT(INDEX([4]PANEL!$Y$8:$Y$20,COUNTA([4]PANEL!$Y$8:$Y$20),1),3))," ",K108))</f>
        <v>Ene - Ago 2011</v>
      </c>
      <c r="L6" s="4" t="str" cm="1">
        <f t="array" ref="L6">IF(COUNTA([4]PANEL!$Y$8:$Y$23)=1,_xlfn.CONCAT(PROPER(LEFT([4]PANEL!$Y$8,3))," - ",L108),_xlfn.CONCAT(PROPER(LEFT([4]PANEL!$Y$8,3))," - ",PROPER(LEFT(INDEX([4]PANEL!$Y$8:$Y$20,COUNTA([4]PANEL!$Y$8:$Y$20),1),3))," ",L108))</f>
        <v>Ene - Ago 2012</v>
      </c>
      <c r="M6" s="4" t="str" cm="1">
        <f t="array" ref="M6">IF(COUNTA([4]PANEL!$Y$8:$Y$23)=1,_xlfn.CONCAT(PROPER(LEFT([4]PANEL!$Y$8,3))," - ",M108),_xlfn.CONCAT(PROPER(LEFT([4]PANEL!$Y$8,3))," - ",PROPER(LEFT(INDEX([4]PANEL!$Y$8:$Y$20,COUNTA([4]PANEL!$Y$8:$Y$20),1),3))," ",M108))</f>
        <v>Ene - Ago 2013</v>
      </c>
      <c r="N6" s="4" t="str" cm="1">
        <f t="array" ref="N6">IF(COUNTA([4]PANEL!$Y$8:$Y$23)=1,_xlfn.CONCAT(PROPER(LEFT([4]PANEL!$Y$8,3))," - ",N108),_xlfn.CONCAT(PROPER(LEFT([4]PANEL!$Y$8,3))," - ",PROPER(LEFT(INDEX([4]PANEL!$Y$8:$Y$20,COUNTA([4]PANEL!$Y$8:$Y$20),1),3))," ",N108))</f>
        <v>Ene - Ago 2014</v>
      </c>
      <c r="O6" s="4" t="str" cm="1">
        <f t="array" ref="O6">IF(COUNTA([4]PANEL!$Y$8:$Y$23)=1,_xlfn.CONCAT(PROPER(LEFT([4]PANEL!$Y$8,3))," - ",O108),_xlfn.CONCAT(PROPER(LEFT([4]PANEL!$Y$8,3))," - ",PROPER(LEFT(INDEX([4]PANEL!$Y$8:$Y$20,COUNTA([4]PANEL!$Y$8:$Y$20),1),3))," ",O108))</f>
        <v>Ene - Ago 2015</v>
      </c>
      <c r="P6" s="4" t="str" cm="1">
        <f t="array" ref="P6">IF(COUNTA([4]PANEL!$Y$8:$Y$23)=1,_xlfn.CONCAT(PROPER(LEFT([4]PANEL!$Y$8,3))," - ",P108),_xlfn.CONCAT(PROPER(LEFT([4]PANEL!$Y$8,3))," - ",PROPER(LEFT(INDEX([4]PANEL!$Y$8:$Y$20,COUNTA([4]PANEL!$Y$8:$Y$20),1),3))," ",P108))</f>
        <v>Ene - Ago 2016</v>
      </c>
      <c r="Q6" s="4" t="str" cm="1">
        <f t="array" ref="Q6">IF(COUNTA([4]PANEL!$Y$8:$Y$23)=1,_xlfn.CONCAT(PROPER(LEFT([4]PANEL!$Y$8,3))," - ",Q108),_xlfn.CONCAT(PROPER(LEFT([4]PANEL!$Y$8,3))," - ",PROPER(LEFT(INDEX([4]PANEL!$Y$8:$Y$20,COUNTA([4]PANEL!$Y$8:$Y$20),1),3))," ",Q108))</f>
        <v>Ene - Ago 2017</v>
      </c>
      <c r="R6" s="4" t="str" cm="1">
        <f t="array" ref="R6">IF(COUNTA([4]PANEL!$Y$8:$Y$23)=1,_xlfn.CONCAT(PROPER(LEFT([4]PANEL!$Y$8,3))," - ",R108),_xlfn.CONCAT(PROPER(LEFT([4]PANEL!$Y$8,3))," - ",PROPER(LEFT(INDEX([4]PANEL!$Y$8:$Y$20,COUNTA([4]PANEL!$Y$8:$Y$20),1),3))," ",R108))</f>
        <v>Ene - Ago 2018</v>
      </c>
      <c r="S6" s="4" t="str" cm="1">
        <f t="array" ref="S6">IF(COUNTA([4]PANEL!$Y$8:$Y$23)=1,_xlfn.CONCAT(PROPER(LEFT([4]PANEL!$Y$8,3))," - ",S108),_xlfn.CONCAT(PROPER(LEFT([4]PANEL!$Y$8,3))," - ",PROPER(LEFT(INDEX([4]PANEL!$Y$8:$Y$20,COUNTA([4]PANEL!$Y$8:$Y$20),1),3))," ",S108))</f>
        <v>Ene - Ago 2019</v>
      </c>
      <c r="T6" s="4" t="str" cm="1">
        <f t="array" ref="T6">IF(COUNTA([4]PANEL!$Y$8:$Y$23)=1,_xlfn.CONCAT(PROPER(LEFT([4]PANEL!$Y$8,3))," - ",T108),_xlfn.CONCAT(PROPER(LEFT([4]PANEL!$Y$8,3))," - ",PROPER(LEFT(INDEX([4]PANEL!$Y$8:$Y$20,COUNTA([4]PANEL!$Y$8:$Y$20),1),3))," ",T108))</f>
        <v>Ene - Ago 2020</v>
      </c>
      <c r="U6" s="4" t="str" cm="1">
        <f t="array" ref="U6">IF(COUNTA([4]PANEL!$Y$8:$Y$23)=1,_xlfn.CONCAT(PROPER(LEFT([4]PANEL!$Y$8,3))," - ",U108),_xlfn.CONCAT(PROPER(LEFT([4]PANEL!$Y$8,3))," - ",PROPER(LEFT(INDEX([4]PANEL!$Y$8:$Y$20,COUNTA([4]PANEL!$Y$8:$Y$20),1),3))," ",U108))</f>
        <v>Ene - Ago 2021</v>
      </c>
      <c r="V6" s="5" t="str" cm="1">
        <f t="array" ref="V6">IF(COUNTA([4]PANEL!$Y$8:$Y$23)=1,_xlfn.CONCAT(PROPER(LEFT([4]PANEL!$Y$8,3))," - ",V108),_xlfn.CONCAT(PROPER(LEFT([4]PANEL!$Y$8,3))," - ",PROPER(LEFT(INDEX([4]PANEL!$Y$8:$Y$20,COUNTA([4]PANEL!$Y$8:$Y$20),1),3))," ",V108))</f>
        <v>Ene - Ago 2022</v>
      </c>
      <c r="W6" s="5" t="str" cm="1">
        <f t="array" ref="W6">IF(COUNTA([4]PANEL!$Y$8:$Y$23)=1,_xlfn.CONCAT(PROPER(LEFT([4]PANEL!$Y$8,3))," - ",W108),_xlfn.CONCAT(PROPER(LEFT([4]PANEL!$Y$8,3))," - ",PROPER(LEFT(INDEX([4]PANEL!$Y$8:$Y$20,COUNTA([4]PANEL!$Y$8:$Y$20),1),3))," ",W108))</f>
        <v>Ene - Ago 2023</v>
      </c>
      <c r="X6" s="5" t="str" cm="1">
        <f t="array" ref="X6">IF(COUNTA([4]PANEL!$Y$8:$Y$23)=1,_xlfn.CONCAT(PROPER(LEFT([4]PANEL!$Y$8,3))," - ",X108),_xlfn.CONCAT(PROPER(LEFT([4]PANEL!$Y$8,3))," - ",PROPER(LEFT(INDEX([4]PANEL!$Y$8:$Y$20,COUNTA([4]PANEL!$Y$8:$Y$20),1),3))," ",X108))</f>
        <v>Ene - Ago 2024</v>
      </c>
      <c r="Y6" s="5" t="str" cm="1">
        <f t="array" ref="Y6">IF(COUNTA([4]PANEL!$Y$8:$Y$23)=1,_xlfn.CONCAT(PROPER(LEFT([4]PANEL!$Y$8,3))," - ",Y108),_xlfn.CONCAT(PROPER(LEFT([4]PANEL!$Y$8,3))," - ",PROPER(LEFT(INDEX([4]PANEL!$Y$8:$Y$20,COUNTA([4]PANEL!$Y$8:$Y$20),1),3))," ",Y108))</f>
        <v>Ene - Ago 2025</v>
      </c>
      <c r="Z6" s="5" t="str" cm="1">
        <f t="array" ref="Z6">IF(COUNTA([4]PANEL!$Y$8:$Y$23)=1,_xlfn.CONCAT(PROPER(LEFT([4]PANEL!$Y$8,3))," - ",Z108),_xlfn.CONCAT(PROPER(LEFT([4]PANEL!$Y$8,3))," - ",PROPER(LEFT(INDEX([4]PANEL!$Y$8:$Y$20,COUNTA([4]PANEL!$Y$8:$Y$20),1),3))," ",Z108))</f>
        <v>Ene - Ago 2026</v>
      </c>
    </row>
    <row r="7" spans="2:26" ht="16.5" thickTop="1" thickBot="1" x14ac:dyDescent="0.3">
      <c r="B7" s="6" t="s">
        <v>6</v>
      </c>
      <c r="C7" s="7">
        <v>15639</v>
      </c>
      <c r="D7" s="7">
        <v>13280</v>
      </c>
      <c r="E7" s="7">
        <v>11302</v>
      </c>
      <c r="F7" s="7">
        <v>10366</v>
      </c>
      <c r="G7" s="7">
        <v>10342</v>
      </c>
      <c r="H7" s="7">
        <v>9825</v>
      </c>
      <c r="I7" s="7">
        <v>10129</v>
      </c>
      <c r="J7" s="7">
        <v>9829</v>
      </c>
      <c r="K7" s="7">
        <v>10455</v>
      </c>
      <c r="L7" s="7">
        <v>10163</v>
      </c>
      <c r="M7" s="7">
        <v>10072</v>
      </c>
      <c r="N7" s="7">
        <v>8441</v>
      </c>
      <c r="O7" s="7">
        <v>8149</v>
      </c>
      <c r="P7" s="7">
        <v>7980</v>
      </c>
      <c r="Q7" s="7">
        <v>7779</v>
      </c>
      <c r="R7" s="7">
        <v>8363</v>
      </c>
      <c r="S7" s="7">
        <v>8249</v>
      </c>
      <c r="T7" s="7">
        <v>7508</v>
      </c>
      <c r="U7" s="7">
        <v>9150</v>
      </c>
      <c r="V7" s="7">
        <v>8916</v>
      </c>
      <c r="W7" s="8">
        <v>8909</v>
      </c>
      <c r="X7" s="7">
        <v>8755</v>
      </c>
      <c r="Y7" s="7">
        <v>9256</v>
      </c>
      <c r="Z7" s="7">
        <v>9434</v>
      </c>
    </row>
    <row r="8" spans="2:26" ht="15.75" thickBot="1" x14ac:dyDescent="0.3">
      <c r="B8" s="6" t="s">
        <v>7</v>
      </c>
      <c r="C8" s="7">
        <v>2731</v>
      </c>
      <c r="D8" s="7">
        <v>2793</v>
      </c>
      <c r="E8" s="7">
        <v>2582</v>
      </c>
      <c r="F8" s="7">
        <v>2533</v>
      </c>
      <c r="G8" s="7">
        <v>2731</v>
      </c>
      <c r="H8" s="7">
        <v>2566</v>
      </c>
      <c r="I8" s="7">
        <v>3187</v>
      </c>
      <c r="J8" s="7">
        <v>3016</v>
      </c>
      <c r="K8" s="7">
        <v>2874</v>
      </c>
      <c r="L8" s="7">
        <v>3007</v>
      </c>
      <c r="M8" s="7">
        <v>3294</v>
      </c>
      <c r="N8" s="7">
        <v>3058</v>
      </c>
      <c r="O8" s="7">
        <v>3426</v>
      </c>
      <c r="P8" s="7">
        <v>3707</v>
      </c>
      <c r="Q8" s="7">
        <v>3531</v>
      </c>
      <c r="R8" s="7">
        <v>3930</v>
      </c>
      <c r="S8" s="7">
        <v>3872</v>
      </c>
      <c r="T8" s="7">
        <v>2928</v>
      </c>
      <c r="U8" s="7">
        <v>4547</v>
      </c>
      <c r="V8" s="7">
        <v>4884</v>
      </c>
      <c r="W8" s="7">
        <v>4808</v>
      </c>
      <c r="X8" s="7">
        <v>4652</v>
      </c>
      <c r="Y8" s="7">
        <v>4938</v>
      </c>
      <c r="Z8" s="7">
        <v>5995</v>
      </c>
    </row>
    <row r="9" spans="2:26" ht="15.75" thickBot="1" x14ac:dyDescent="0.3">
      <c r="B9" s="6" t="s">
        <v>8</v>
      </c>
      <c r="C9" s="7"/>
      <c r="D9" s="7"/>
      <c r="E9" s="7"/>
      <c r="F9" s="7"/>
      <c r="G9" s="7"/>
      <c r="H9" s="7"/>
      <c r="I9" s="7"/>
      <c r="J9" s="7"/>
      <c r="K9" s="7"/>
      <c r="L9" s="7"/>
      <c r="M9" s="7"/>
      <c r="N9" s="7"/>
      <c r="O9" s="7"/>
      <c r="P9" s="7"/>
      <c r="Q9" s="7"/>
      <c r="R9" s="7"/>
      <c r="S9" s="7"/>
      <c r="T9" s="7"/>
      <c r="U9" s="7"/>
      <c r="V9" s="7">
        <v>68</v>
      </c>
      <c r="W9" s="7">
        <v>66</v>
      </c>
      <c r="X9" s="7">
        <v>49</v>
      </c>
      <c r="Y9" s="7">
        <v>65</v>
      </c>
      <c r="Z9" s="7">
        <v>72</v>
      </c>
    </row>
    <row r="10" spans="2:26" ht="15.75" thickBot="1" x14ac:dyDescent="0.3">
      <c r="B10" s="6" t="s">
        <v>9</v>
      </c>
      <c r="C10" s="7"/>
      <c r="D10" s="7"/>
      <c r="E10" s="7"/>
      <c r="F10" s="7"/>
      <c r="G10" s="7"/>
      <c r="H10" s="7"/>
      <c r="I10" s="7"/>
      <c r="J10" s="7"/>
      <c r="K10" s="7"/>
      <c r="L10" s="7"/>
      <c r="M10" s="7"/>
      <c r="N10" s="7"/>
      <c r="O10" s="7"/>
      <c r="P10" s="7"/>
      <c r="Q10" s="7"/>
      <c r="R10" s="7"/>
      <c r="S10" s="7"/>
      <c r="T10" s="7"/>
      <c r="U10" s="7"/>
      <c r="V10" s="7">
        <v>229</v>
      </c>
      <c r="W10" s="7">
        <v>220</v>
      </c>
      <c r="X10" s="7">
        <v>173</v>
      </c>
      <c r="Y10" s="7">
        <v>232</v>
      </c>
      <c r="Z10" s="7">
        <v>260</v>
      </c>
    </row>
    <row r="11" spans="2:26" ht="15.75" thickBot="1" x14ac:dyDescent="0.3">
      <c r="B11" s="6" t="s">
        <v>10</v>
      </c>
      <c r="C11" s="7">
        <v>26760</v>
      </c>
      <c r="D11" s="7">
        <v>22974</v>
      </c>
      <c r="E11" s="7">
        <v>19012</v>
      </c>
      <c r="F11" s="7">
        <v>30052</v>
      </c>
      <c r="G11" s="7">
        <v>32787</v>
      </c>
      <c r="H11" s="7">
        <v>40225</v>
      </c>
      <c r="I11" s="7">
        <v>37373</v>
      </c>
      <c r="J11" s="7">
        <v>36863</v>
      </c>
      <c r="K11" s="7">
        <v>41787</v>
      </c>
      <c r="L11" s="7">
        <v>57197</v>
      </c>
      <c r="M11" s="7">
        <v>57322</v>
      </c>
      <c r="N11" s="7">
        <v>56708</v>
      </c>
      <c r="O11" s="7">
        <v>59293</v>
      </c>
      <c r="P11" s="7">
        <v>86798</v>
      </c>
      <c r="Q11" s="7">
        <v>85496</v>
      </c>
      <c r="R11" s="7">
        <v>94084</v>
      </c>
      <c r="S11" s="7">
        <v>81421</v>
      </c>
      <c r="T11" s="7">
        <v>53021</v>
      </c>
      <c r="U11" s="7">
        <v>65958</v>
      </c>
      <c r="V11" s="7">
        <v>68362</v>
      </c>
      <c r="W11" s="7">
        <v>62630</v>
      </c>
      <c r="X11" s="7">
        <v>59068</v>
      </c>
      <c r="Y11" s="7">
        <v>56793</v>
      </c>
      <c r="Z11" s="7">
        <v>64141</v>
      </c>
    </row>
    <row r="12" spans="2:26" ht="15.75" thickBot="1" x14ac:dyDescent="0.3">
      <c r="B12" s="6" t="s">
        <v>11</v>
      </c>
      <c r="C12" s="7">
        <v>9568</v>
      </c>
      <c r="D12" s="7">
        <v>8966</v>
      </c>
      <c r="E12" s="7">
        <v>6592</v>
      </c>
      <c r="F12" s="7">
        <v>8725</v>
      </c>
      <c r="G12" s="7">
        <v>10540</v>
      </c>
      <c r="H12" s="7">
        <v>10291</v>
      </c>
      <c r="I12" s="7">
        <v>24244</v>
      </c>
      <c r="J12" s="7">
        <v>24563</v>
      </c>
      <c r="K12" s="7">
        <v>26072</v>
      </c>
      <c r="L12" s="7">
        <v>26872</v>
      </c>
      <c r="M12" s="7">
        <v>28524</v>
      </c>
      <c r="N12" s="7">
        <v>27521</v>
      </c>
      <c r="O12" s="7">
        <v>28100</v>
      </c>
      <c r="P12" s="7">
        <v>51543</v>
      </c>
      <c r="Q12" s="7">
        <v>45596</v>
      </c>
      <c r="R12" s="7">
        <v>35134</v>
      </c>
      <c r="S12" s="7">
        <v>27140</v>
      </c>
      <c r="T12" s="7">
        <v>16809</v>
      </c>
      <c r="U12" s="7">
        <v>21923</v>
      </c>
      <c r="V12" s="7">
        <v>30299</v>
      </c>
      <c r="W12" s="7">
        <v>33909</v>
      </c>
      <c r="X12" s="7">
        <v>32321</v>
      </c>
      <c r="Y12" s="7">
        <v>32508</v>
      </c>
      <c r="Z12" s="7">
        <v>35274</v>
      </c>
    </row>
    <row r="13" spans="2:26" ht="32.1" customHeight="1" thickBot="1" x14ac:dyDescent="0.3">
      <c r="B13" s="3" t="s">
        <v>12</v>
      </c>
      <c r="C13" s="9" t="s">
        <v>114</v>
      </c>
      <c r="D13" s="9" t="s">
        <v>115</v>
      </c>
      <c r="E13" s="9" t="s">
        <v>116</v>
      </c>
      <c r="F13" s="9" t="s">
        <v>117</v>
      </c>
      <c r="G13" s="9" t="s">
        <v>118</v>
      </c>
      <c r="H13" s="9" t="s">
        <v>119</v>
      </c>
      <c r="I13" s="9" t="s">
        <v>120</v>
      </c>
      <c r="J13" s="9" t="s">
        <v>121</v>
      </c>
      <c r="K13" s="9" t="s">
        <v>122</v>
      </c>
      <c r="L13" s="9" t="s">
        <v>123</v>
      </c>
      <c r="M13" s="9" t="s">
        <v>124</v>
      </c>
      <c r="N13" s="9" t="s">
        <v>125</v>
      </c>
      <c r="O13" s="9" t="s">
        <v>126</v>
      </c>
      <c r="P13" s="9" t="s">
        <v>127</v>
      </c>
      <c r="Q13" s="9" t="s">
        <v>128</v>
      </c>
      <c r="R13" s="9" t="s">
        <v>129</v>
      </c>
      <c r="S13" s="9" t="s">
        <v>130</v>
      </c>
      <c r="T13" s="9" t="s">
        <v>131</v>
      </c>
      <c r="U13" s="9" t="s">
        <v>132</v>
      </c>
      <c r="V13" s="5" t="s">
        <v>133</v>
      </c>
      <c r="W13" s="5" t="s">
        <v>134</v>
      </c>
      <c r="X13" s="5" t="s">
        <v>135</v>
      </c>
      <c r="Y13" s="5" t="s">
        <v>136</v>
      </c>
      <c r="Z13" s="5" t="s">
        <v>137</v>
      </c>
    </row>
    <row r="14" spans="2:26" ht="16.5" thickTop="1" thickBot="1" x14ac:dyDescent="0.3">
      <c r="B14" s="6" t="s">
        <v>13</v>
      </c>
      <c r="C14" s="7">
        <v>0</v>
      </c>
      <c r="D14" s="7">
        <v>0</v>
      </c>
      <c r="E14" s="7">
        <v>0</v>
      </c>
      <c r="F14" s="7">
        <v>1</v>
      </c>
      <c r="G14" s="7">
        <v>29</v>
      </c>
      <c r="H14" s="7">
        <v>58</v>
      </c>
      <c r="I14" s="7">
        <v>120</v>
      </c>
      <c r="J14" s="7">
        <v>24</v>
      </c>
      <c r="K14" s="7">
        <v>31</v>
      </c>
      <c r="L14" s="7">
        <v>27</v>
      </c>
      <c r="M14" s="7">
        <v>24</v>
      </c>
      <c r="N14" s="7">
        <v>23</v>
      </c>
      <c r="O14" s="7">
        <v>111</v>
      </c>
      <c r="P14" s="7">
        <v>101</v>
      </c>
      <c r="Q14" s="7">
        <v>121</v>
      </c>
      <c r="R14" s="7">
        <v>139</v>
      </c>
      <c r="S14" s="7">
        <v>220</v>
      </c>
      <c r="T14" s="7">
        <v>147</v>
      </c>
      <c r="U14" s="7">
        <v>325</v>
      </c>
      <c r="V14" s="7">
        <v>210</v>
      </c>
      <c r="W14" s="7">
        <v>379</v>
      </c>
      <c r="X14" s="7">
        <v>179</v>
      </c>
      <c r="Y14" s="7">
        <v>199</v>
      </c>
      <c r="Z14" s="7">
        <v>349</v>
      </c>
    </row>
    <row r="15" spans="2:26" ht="15.75" thickBot="1" x14ac:dyDescent="0.3">
      <c r="B15" s="6" t="s">
        <v>14</v>
      </c>
      <c r="C15" s="7"/>
      <c r="D15" s="7"/>
      <c r="E15" s="7">
        <v>2</v>
      </c>
      <c r="F15" s="7">
        <v>4</v>
      </c>
      <c r="G15" s="7">
        <v>6</v>
      </c>
      <c r="H15" s="7">
        <v>7</v>
      </c>
      <c r="I15" s="7">
        <v>14</v>
      </c>
      <c r="J15" s="7">
        <v>16</v>
      </c>
      <c r="K15" s="7">
        <v>18</v>
      </c>
      <c r="L15" s="7">
        <v>5</v>
      </c>
      <c r="M15" s="7">
        <v>8</v>
      </c>
      <c r="N15" s="7">
        <v>21</v>
      </c>
      <c r="O15" s="7">
        <v>147</v>
      </c>
      <c r="P15" s="7">
        <v>253</v>
      </c>
      <c r="Q15" s="7">
        <v>99</v>
      </c>
      <c r="R15" s="7">
        <v>136</v>
      </c>
      <c r="S15" s="7">
        <v>28</v>
      </c>
      <c r="T15" s="7">
        <v>42</v>
      </c>
      <c r="U15" s="7">
        <v>285</v>
      </c>
      <c r="V15" s="7">
        <v>111</v>
      </c>
      <c r="W15" s="7">
        <v>274</v>
      </c>
      <c r="X15" s="7">
        <v>18</v>
      </c>
      <c r="Y15" s="7">
        <v>1</v>
      </c>
      <c r="Z15" s="7">
        <v>5</v>
      </c>
    </row>
    <row r="16" spans="2:26" ht="15.75" thickBot="1" x14ac:dyDescent="0.3">
      <c r="B16" s="10" t="s">
        <v>15</v>
      </c>
      <c r="C16" s="11">
        <v>1578</v>
      </c>
      <c r="D16" s="11">
        <v>1089</v>
      </c>
      <c r="E16" s="11">
        <v>583</v>
      </c>
      <c r="F16" s="11">
        <v>476</v>
      </c>
      <c r="G16" s="11">
        <v>407</v>
      </c>
      <c r="H16" s="11">
        <v>325</v>
      </c>
      <c r="I16" s="11">
        <v>141</v>
      </c>
      <c r="J16" s="11">
        <v>187</v>
      </c>
      <c r="K16" s="11">
        <v>238</v>
      </c>
      <c r="L16" s="11">
        <v>221</v>
      </c>
      <c r="M16" s="11">
        <v>207</v>
      </c>
      <c r="N16" s="11">
        <v>218</v>
      </c>
      <c r="O16" s="11">
        <v>157</v>
      </c>
      <c r="P16" s="11">
        <v>158</v>
      </c>
      <c r="Q16" s="11">
        <v>141</v>
      </c>
      <c r="R16" s="11">
        <v>118</v>
      </c>
      <c r="S16" s="11">
        <v>99</v>
      </c>
      <c r="T16" s="11">
        <v>106</v>
      </c>
      <c r="U16" s="11">
        <v>123</v>
      </c>
      <c r="V16" s="11">
        <v>125</v>
      </c>
      <c r="W16" s="11">
        <v>226</v>
      </c>
      <c r="X16" s="11">
        <v>185</v>
      </c>
      <c r="Y16" s="11">
        <v>434</v>
      </c>
      <c r="Z16" s="11">
        <v>238</v>
      </c>
    </row>
    <row r="17" spans="2:26" ht="15.75" thickBot="1" x14ac:dyDescent="0.3">
      <c r="B17" s="6" t="s">
        <v>16</v>
      </c>
      <c r="C17" s="7"/>
      <c r="D17" s="7"/>
      <c r="E17" s="7"/>
      <c r="F17" s="7"/>
      <c r="G17" s="7"/>
      <c r="H17" s="7"/>
      <c r="I17" s="7"/>
      <c r="J17" s="7"/>
      <c r="K17" s="7"/>
      <c r="L17" s="7"/>
      <c r="M17" s="7"/>
      <c r="N17" s="7"/>
      <c r="O17" s="7"/>
      <c r="P17" s="7"/>
      <c r="Q17" s="7"/>
      <c r="R17" s="7"/>
      <c r="S17" s="7"/>
      <c r="T17" s="7"/>
      <c r="U17" s="7"/>
      <c r="V17" s="7">
        <v>87</v>
      </c>
      <c r="W17" s="7">
        <v>175</v>
      </c>
      <c r="X17" s="7">
        <v>151</v>
      </c>
      <c r="Y17" s="7">
        <v>208</v>
      </c>
      <c r="Z17" s="7">
        <v>159</v>
      </c>
    </row>
    <row r="18" spans="2:26" ht="15.75" thickBot="1" x14ac:dyDescent="0.3">
      <c r="B18" s="6" t="s">
        <v>17</v>
      </c>
      <c r="C18" s="7">
        <v>961</v>
      </c>
      <c r="D18" s="7">
        <v>557</v>
      </c>
      <c r="E18" s="7">
        <v>264</v>
      </c>
      <c r="F18" s="7">
        <v>210</v>
      </c>
      <c r="G18" s="7">
        <v>181</v>
      </c>
      <c r="H18" s="7">
        <v>141</v>
      </c>
      <c r="I18" s="7">
        <v>107</v>
      </c>
      <c r="J18" s="7">
        <v>135</v>
      </c>
      <c r="K18" s="7">
        <v>157</v>
      </c>
      <c r="L18" s="7">
        <v>125</v>
      </c>
      <c r="M18" s="7">
        <v>113</v>
      </c>
      <c r="N18" s="7">
        <v>117</v>
      </c>
      <c r="O18" s="7">
        <v>90</v>
      </c>
      <c r="P18" s="7">
        <v>79</v>
      </c>
      <c r="Q18" s="7">
        <v>75</v>
      </c>
      <c r="R18" s="7">
        <v>65</v>
      </c>
      <c r="S18" s="7">
        <v>66</v>
      </c>
      <c r="T18" s="7">
        <v>59</v>
      </c>
      <c r="U18" s="7">
        <v>70</v>
      </c>
      <c r="V18" s="7">
        <v>84</v>
      </c>
      <c r="W18" s="7">
        <v>150</v>
      </c>
      <c r="X18" s="7">
        <v>118</v>
      </c>
      <c r="Y18" s="7">
        <v>306</v>
      </c>
      <c r="Z18" s="7">
        <v>156</v>
      </c>
    </row>
    <row r="19" spans="2:26" ht="15.75" thickBot="1" x14ac:dyDescent="0.3">
      <c r="B19" s="6" t="s">
        <v>18</v>
      </c>
      <c r="C19" s="7">
        <v>617</v>
      </c>
      <c r="D19" s="7">
        <v>532</v>
      </c>
      <c r="E19" s="7">
        <v>319</v>
      </c>
      <c r="F19" s="7">
        <v>266</v>
      </c>
      <c r="G19" s="7">
        <v>226</v>
      </c>
      <c r="H19" s="7">
        <v>184</v>
      </c>
      <c r="I19" s="7">
        <v>34</v>
      </c>
      <c r="J19" s="7">
        <v>52</v>
      </c>
      <c r="K19" s="7">
        <v>81</v>
      </c>
      <c r="L19" s="7">
        <v>96</v>
      </c>
      <c r="M19" s="7">
        <v>94</v>
      </c>
      <c r="N19" s="7">
        <v>101</v>
      </c>
      <c r="O19" s="7">
        <v>67</v>
      </c>
      <c r="P19" s="7">
        <v>79</v>
      </c>
      <c r="Q19" s="7">
        <v>66</v>
      </c>
      <c r="R19" s="7">
        <v>53</v>
      </c>
      <c r="S19" s="7">
        <v>33</v>
      </c>
      <c r="T19" s="7">
        <v>47</v>
      </c>
      <c r="U19" s="7">
        <v>53</v>
      </c>
      <c r="V19" s="7">
        <v>41</v>
      </c>
      <c r="W19" s="7">
        <v>76</v>
      </c>
      <c r="X19" s="7">
        <v>67</v>
      </c>
      <c r="Y19" s="7">
        <v>128</v>
      </c>
      <c r="Z19" s="7">
        <v>82</v>
      </c>
    </row>
    <row r="20" spans="2:26" ht="15.75" thickBot="1" x14ac:dyDescent="0.3">
      <c r="B20" s="6" t="s">
        <v>19</v>
      </c>
      <c r="C20" s="7">
        <v>326</v>
      </c>
      <c r="D20" s="7">
        <v>202</v>
      </c>
      <c r="E20" s="7">
        <v>101</v>
      </c>
      <c r="F20" s="7">
        <v>107</v>
      </c>
      <c r="G20" s="7">
        <v>114</v>
      </c>
      <c r="H20" s="7">
        <v>109</v>
      </c>
      <c r="I20" s="7">
        <v>59</v>
      </c>
      <c r="J20" s="7">
        <v>63</v>
      </c>
      <c r="K20" s="7">
        <v>106</v>
      </c>
      <c r="L20" s="7">
        <v>47</v>
      </c>
      <c r="M20" s="7">
        <v>71</v>
      </c>
      <c r="N20" s="7">
        <v>75</v>
      </c>
      <c r="O20" s="7">
        <v>44</v>
      </c>
      <c r="P20" s="7">
        <v>44</v>
      </c>
      <c r="Q20" s="7">
        <v>32</v>
      </c>
      <c r="R20" s="7">
        <v>33</v>
      </c>
      <c r="S20" s="7">
        <v>32</v>
      </c>
      <c r="T20" s="7">
        <v>27</v>
      </c>
      <c r="U20" s="7">
        <v>21</v>
      </c>
      <c r="V20" s="7">
        <v>45</v>
      </c>
      <c r="W20" s="7">
        <v>54</v>
      </c>
      <c r="X20" s="7">
        <v>47</v>
      </c>
      <c r="Y20" s="7">
        <v>54</v>
      </c>
      <c r="Z20" s="7">
        <v>67</v>
      </c>
    </row>
    <row r="21" spans="2:26" ht="31.5" customHeight="1" thickBot="1" x14ac:dyDescent="0.3">
      <c r="B21" s="3" t="s">
        <v>20</v>
      </c>
      <c r="C21" s="9" t="s">
        <v>114</v>
      </c>
      <c r="D21" s="9" t="s">
        <v>115</v>
      </c>
      <c r="E21" s="9" t="s">
        <v>116</v>
      </c>
      <c r="F21" s="9" t="s">
        <v>117</v>
      </c>
      <c r="G21" s="9" t="s">
        <v>118</v>
      </c>
      <c r="H21" s="9" t="s">
        <v>119</v>
      </c>
      <c r="I21" s="9" t="s">
        <v>120</v>
      </c>
      <c r="J21" s="9" t="s">
        <v>121</v>
      </c>
      <c r="K21" s="9" t="s">
        <v>122</v>
      </c>
      <c r="L21" s="9" t="s">
        <v>123</v>
      </c>
      <c r="M21" s="9" t="s">
        <v>124</v>
      </c>
      <c r="N21" s="9" t="s">
        <v>125</v>
      </c>
      <c r="O21" s="9" t="s">
        <v>126</v>
      </c>
      <c r="P21" s="9" t="s">
        <v>127</v>
      </c>
      <c r="Q21" s="9" t="s">
        <v>128</v>
      </c>
      <c r="R21" s="9" t="s">
        <v>129</v>
      </c>
      <c r="S21" s="9" t="s">
        <v>130</v>
      </c>
      <c r="T21" s="9" t="s">
        <v>131</v>
      </c>
      <c r="U21" s="9" t="s">
        <v>132</v>
      </c>
      <c r="V21" s="5" t="s">
        <v>133</v>
      </c>
      <c r="W21" s="5" t="s">
        <v>134</v>
      </c>
      <c r="X21" s="5" t="s">
        <v>135</v>
      </c>
      <c r="Y21" s="5" t="s">
        <v>136</v>
      </c>
      <c r="Z21" s="5" t="s">
        <v>137</v>
      </c>
    </row>
    <row r="22" spans="2:26" ht="16.5" thickTop="1" thickBot="1" x14ac:dyDescent="0.3">
      <c r="B22" s="6" t="s">
        <v>21</v>
      </c>
      <c r="C22" s="7">
        <v>2707</v>
      </c>
      <c r="D22" s="7">
        <v>2807</v>
      </c>
      <c r="E22" s="7">
        <v>3005</v>
      </c>
      <c r="F22" s="7">
        <v>4553</v>
      </c>
      <c r="G22" s="7">
        <v>5265</v>
      </c>
      <c r="H22" s="7">
        <v>4886</v>
      </c>
      <c r="I22" s="7">
        <v>5734</v>
      </c>
      <c r="J22" s="7">
        <v>4964</v>
      </c>
      <c r="K22" s="7">
        <v>5974</v>
      </c>
      <c r="L22" s="7">
        <v>8343</v>
      </c>
      <c r="M22" s="7">
        <v>8939</v>
      </c>
      <c r="N22" s="7">
        <v>9102</v>
      </c>
      <c r="O22" s="7">
        <v>15247</v>
      </c>
      <c r="P22" s="7">
        <v>16193</v>
      </c>
      <c r="Q22" s="7">
        <v>18779</v>
      </c>
      <c r="R22" s="7">
        <v>24970</v>
      </c>
      <c r="S22" s="7">
        <v>25776</v>
      </c>
      <c r="T22" s="7">
        <v>20201</v>
      </c>
      <c r="U22" s="7">
        <v>23464</v>
      </c>
      <c r="V22" s="7">
        <v>19607</v>
      </c>
      <c r="W22" s="7">
        <v>17753</v>
      </c>
      <c r="X22" s="7">
        <v>21443</v>
      </c>
      <c r="Y22" s="7">
        <v>23495</v>
      </c>
      <c r="Z22" s="7">
        <v>21258</v>
      </c>
    </row>
    <row r="23" spans="2:26" ht="31.5" customHeight="1" thickBot="1" x14ac:dyDescent="0.3">
      <c r="B23" s="3" t="s">
        <v>22</v>
      </c>
      <c r="C23" s="9" t="s">
        <v>114</v>
      </c>
      <c r="D23" s="9" t="s">
        <v>115</v>
      </c>
      <c r="E23" s="9" t="s">
        <v>116</v>
      </c>
      <c r="F23" s="9" t="s">
        <v>117</v>
      </c>
      <c r="G23" s="9" t="s">
        <v>118</v>
      </c>
      <c r="H23" s="9" t="s">
        <v>119</v>
      </c>
      <c r="I23" s="9" t="s">
        <v>120</v>
      </c>
      <c r="J23" s="9" t="s">
        <v>121</v>
      </c>
      <c r="K23" s="9" t="s">
        <v>122</v>
      </c>
      <c r="L23" s="9" t="s">
        <v>123</v>
      </c>
      <c r="M23" s="9" t="s">
        <v>124</v>
      </c>
      <c r="N23" s="9" t="s">
        <v>125</v>
      </c>
      <c r="O23" s="9" t="s">
        <v>126</v>
      </c>
      <c r="P23" s="9" t="s">
        <v>127</v>
      </c>
      <c r="Q23" s="9" t="s">
        <v>128</v>
      </c>
      <c r="R23" s="9" t="s">
        <v>129</v>
      </c>
      <c r="S23" s="9" t="s">
        <v>130</v>
      </c>
      <c r="T23" s="9" t="s">
        <v>131</v>
      </c>
      <c r="U23" s="9" t="s">
        <v>132</v>
      </c>
      <c r="V23" s="5" t="s">
        <v>133</v>
      </c>
      <c r="W23" s="5" t="s">
        <v>134</v>
      </c>
      <c r="X23" s="5" t="s">
        <v>135</v>
      </c>
      <c r="Y23" s="5" t="s">
        <v>136</v>
      </c>
      <c r="Z23" s="5" t="s">
        <v>137</v>
      </c>
    </row>
    <row r="24" spans="2:26" ht="16.5" thickTop="1" thickBot="1" x14ac:dyDescent="0.3">
      <c r="B24" s="6" t="s">
        <v>23</v>
      </c>
      <c r="C24" s="7">
        <v>11274</v>
      </c>
      <c r="D24" s="7">
        <v>10275</v>
      </c>
      <c r="E24" s="7">
        <v>9724</v>
      </c>
      <c r="F24" s="7">
        <v>13395</v>
      </c>
      <c r="G24" s="7">
        <v>12972</v>
      </c>
      <c r="H24" s="7">
        <v>14494</v>
      </c>
      <c r="I24" s="7">
        <v>12799</v>
      </c>
      <c r="J24" s="7">
        <v>11852</v>
      </c>
      <c r="K24" s="7">
        <v>12731</v>
      </c>
      <c r="L24" s="7">
        <v>16241</v>
      </c>
      <c r="M24" s="7">
        <v>14983</v>
      </c>
      <c r="N24" s="7">
        <v>13963</v>
      </c>
      <c r="O24" s="7">
        <v>14379</v>
      </c>
      <c r="P24" s="7">
        <v>16452</v>
      </c>
      <c r="Q24" s="7">
        <v>30018</v>
      </c>
      <c r="R24" s="7">
        <v>32118</v>
      </c>
      <c r="S24" s="7">
        <v>31528</v>
      </c>
      <c r="T24" s="7">
        <v>3917</v>
      </c>
      <c r="U24" s="7">
        <v>21947</v>
      </c>
      <c r="V24" s="7">
        <v>21618</v>
      </c>
      <c r="W24" s="7">
        <v>24342</v>
      </c>
      <c r="X24" s="7">
        <v>20422</v>
      </c>
      <c r="Y24" s="7">
        <v>17237</v>
      </c>
      <c r="Z24" s="7">
        <v>16290</v>
      </c>
    </row>
    <row r="25" spans="2:26" ht="15.75" thickBot="1" x14ac:dyDescent="0.3">
      <c r="B25" s="6" t="s">
        <v>24</v>
      </c>
      <c r="C25" s="7">
        <v>8751</v>
      </c>
      <c r="D25" s="7">
        <v>8036</v>
      </c>
      <c r="E25" s="7">
        <v>8694</v>
      </c>
      <c r="F25" s="7">
        <v>10607</v>
      </c>
      <c r="G25" s="7">
        <v>10528</v>
      </c>
      <c r="H25" s="7">
        <v>7051</v>
      </c>
      <c r="I25" s="7">
        <v>9913</v>
      </c>
      <c r="J25" s="7">
        <v>8951</v>
      </c>
      <c r="K25" s="7">
        <v>10603</v>
      </c>
      <c r="L25" s="7">
        <v>16027</v>
      </c>
      <c r="M25" s="7">
        <v>16078</v>
      </c>
      <c r="N25" s="7">
        <v>14530</v>
      </c>
      <c r="O25" s="7">
        <v>15559</v>
      </c>
      <c r="P25" s="7">
        <v>15232</v>
      </c>
      <c r="Q25" s="7">
        <v>39822</v>
      </c>
      <c r="R25" s="7">
        <v>44597</v>
      </c>
      <c r="S25" s="7">
        <v>42078</v>
      </c>
      <c r="T25" s="7">
        <v>30264</v>
      </c>
      <c r="U25" s="7">
        <v>29918</v>
      </c>
      <c r="V25" s="7">
        <v>31040</v>
      </c>
      <c r="W25" s="7">
        <v>32162</v>
      </c>
      <c r="X25" s="7">
        <v>28093</v>
      </c>
      <c r="Y25" s="7">
        <v>20495</v>
      </c>
      <c r="Z25" s="7">
        <v>15932</v>
      </c>
    </row>
    <row r="26" spans="2:26" ht="15.75" thickBot="1" x14ac:dyDescent="0.3">
      <c r="B26" s="6" t="s">
        <v>25</v>
      </c>
      <c r="C26" s="7">
        <v>22126</v>
      </c>
      <c r="D26" s="7">
        <v>20039</v>
      </c>
      <c r="E26" s="7">
        <v>26110</v>
      </c>
      <c r="F26" s="7">
        <v>35343</v>
      </c>
      <c r="G26" s="7">
        <v>35384</v>
      </c>
      <c r="H26" s="7">
        <v>46489</v>
      </c>
      <c r="I26" s="7">
        <v>41913</v>
      </c>
      <c r="J26" s="7">
        <v>41801</v>
      </c>
      <c r="K26" s="7">
        <v>46427</v>
      </c>
      <c r="L26" s="7">
        <v>59625</v>
      </c>
      <c r="M26" s="7">
        <v>64465</v>
      </c>
      <c r="N26" s="7">
        <v>64131</v>
      </c>
      <c r="O26" s="7">
        <v>68486</v>
      </c>
      <c r="P26" s="7">
        <v>95927</v>
      </c>
      <c r="Q26" s="7">
        <v>126552</v>
      </c>
      <c r="R26" s="7">
        <v>166602</v>
      </c>
      <c r="S26" s="7">
        <v>196594</v>
      </c>
      <c r="T26" s="7">
        <v>131131</v>
      </c>
      <c r="U26" s="7">
        <v>173059</v>
      </c>
      <c r="V26" s="7">
        <v>210296</v>
      </c>
      <c r="W26" s="7">
        <v>262895</v>
      </c>
      <c r="X26" s="7">
        <v>212804</v>
      </c>
      <c r="Y26" s="7">
        <v>194903</v>
      </c>
      <c r="Z26" s="7">
        <v>179684</v>
      </c>
    </row>
    <row r="27" spans="2:26" ht="15.75" thickBot="1" x14ac:dyDescent="0.3">
      <c r="B27" s="6" t="s">
        <v>26</v>
      </c>
      <c r="C27" s="7">
        <v>126</v>
      </c>
      <c r="D27" s="7">
        <v>68</v>
      </c>
      <c r="E27" s="7">
        <v>53</v>
      </c>
      <c r="F27" s="7">
        <v>57</v>
      </c>
      <c r="G27" s="7">
        <v>39</v>
      </c>
      <c r="H27" s="7">
        <v>80</v>
      </c>
      <c r="I27" s="7">
        <v>64</v>
      </c>
      <c r="J27" s="7">
        <v>51</v>
      </c>
      <c r="K27" s="7">
        <v>73</v>
      </c>
      <c r="L27" s="7">
        <v>65</v>
      </c>
      <c r="M27" s="7">
        <v>59</v>
      </c>
      <c r="N27" s="7">
        <v>68</v>
      </c>
      <c r="O27" s="7">
        <v>77</v>
      </c>
      <c r="P27" s="7">
        <v>93</v>
      </c>
      <c r="Q27" s="7">
        <v>84</v>
      </c>
      <c r="R27" s="7">
        <v>119</v>
      </c>
      <c r="S27" s="7">
        <v>71</v>
      </c>
      <c r="T27" s="7">
        <v>50</v>
      </c>
      <c r="U27" s="7">
        <v>75</v>
      </c>
      <c r="V27" s="7">
        <v>91</v>
      </c>
      <c r="W27" s="7">
        <v>56</v>
      </c>
      <c r="X27" s="7">
        <v>42</v>
      </c>
      <c r="Y27" s="7">
        <v>34</v>
      </c>
      <c r="Z27" s="7">
        <v>8</v>
      </c>
    </row>
    <row r="28" spans="2:26" ht="15.75" thickBot="1" x14ac:dyDescent="0.3">
      <c r="B28" s="6" t="s">
        <v>27</v>
      </c>
      <c r="C28" s="7">
        <v>1066</v>
      </c>
      <c r="D28" s="7">
        <v>622</v>
      </c>
      <c r="E28" s="7">
        <v>471</v>
      </c>
      <c r="F28" s="7">
        <v>426</v>
      </c>
      <c r="G28" s="7">
        <v>412</v>
      </c>
      <c r="H28" s="7">
        <v>397</v>
      </c>
      <c r="I28" s="7">
        <v>369</v>
      </c>
      <c r="J28" s="7">
        <v>274</v>
      </c>
      <c r="K28" s="7">
        <v>285</v>
      </c>
      <c r="L28" s="7">
        <v>261</v>
      </c>
      <c r="M28" s="7">
        <v>286</v>
      </c>
      <c r="N28" s="7">
        <v>230</v>
      </c>
      <c r="O28" s="7">
        <v>206</v>
      </c>
      <c r="P28" s="7">
        <v>207</v>
      </c>
      <c r="Q28" s="7">
        <v>286</v>
      </c>
      <c r="R28" s="7">
        <v>254</v>
      </c>
      <c r="S28" s="7">
        <v>229</v>
      </c>
      <c r="T28" s="7">
        <v>196</v>
      </c>
      <c r="U28" s="7">
        <v>113</v>
      </c>
      <c r="V28" s="7">
        <v>99</v>
      </c>
      <c r="W28" s="7">
        <v>104</v>
      </c>
      <c r="X28" s="7">
        <v>104</v>
      </c>
      <c r="Y28" s="7">
        <v>82</v>
      </c>
      <c r="Z28" s="7">
        <v>33</v>
      </c>
    </row>
    <row r="29" spans="2:26" ht="15.75" thickBot="1" x14ac:dyDescent="0.3">
      <c r="B29" s="6" t="s">
        <v>28</v>
      </c>
      <c r="C29" s="7">
        <v>1151</v>
      </c>
      <c r="D29" s="7">
        <v>943</v>
      </c>
      <c r="E29" s="7">
        <v>1076</v>
      </c>
      <c r="F29" s="7">
        <v>1500</v>
      </c>
      <c r="G29" s="7">
        <v>1277</v>
      </c>
      <c r="H29" s="7">
        <v>1388</v>
      </c>
      <c r="I29" s="7">
        <v>1373</v>
      </c>
      <c r="J29" s="7">
        <v>989</v>
      </c>
      <c r="K29" s="7">
        <v>978</v>
      </c>
      <c r="L29" s="7">
        <v>1351</v>
      </c>
      <c r="M29" s="7">
        <v>1643</v>
      </c>
      <c r="N29" s="7">
        <v>1362</v>
      </c>
      <c r="O29" s="7">
        <v>1453</v>
      </c>
      <c r="P29" s="7">
        <v>1924</v>
      </c>
      <c r="Q29" s="7">
        <v>3520</v>
      </c>
      <c r="R29" s="7">
        <v>2856</v>
      </c>
      <c r="S29" s="7">
        <v>2332</v>
      </c>
      <c r="T29" s="7">
        <v>1597</v>
      </c>
      <c r="U29" s="7">
        <v>1555</v>
      </c>
      <c r="V29" s="7">
        <v>1684</v>
      </c>
      <c r="W29" s="7">
        <v>1249</v>
      </c>
      <c r="X29" s="7">
        <v>988</v>
      </c>
      <c r="Y29" s="7">
        <v>635</v>
      </c>
      <c r="Z29" s="7">
        <v>366</v>
      </c>
    </row>
    <row r="30" spans="2:26" ht="15.75" thickBot="1" x14ac:dyDescent="0.3">
      <c r="B30" s="6" t="s">
        <v>29</v>
      </c>
      <c r="C30" s="7">
        <v>1657</v>
      </c>
      <c r="D30" s="7">
        <v>1776</v>
      </c>
      <c r="E30" s="7">
        <v>1339</v>
      </c>
      <c r="F30" s="7">
        <v>1236</v>
      </c>
      <c r="G30" s="7">
        <v>812</v>
      </c>
      <c r="H30" s="7">
        <v>638</v>
      </c>
      <c r="I30" s="7">
        <v>971</v>
      </c>
      <c r="J30" s="7">
        <v>995</v>
      </c>
      <c r="K30" s="7">
        <v>1301</v>
      </c>
      <c r="L30" s="7">
        <v>1625</v>
      </c>
      <c r="M30" s="7">
        <v>3791</v>
      </c>
      <c r="N30" s="7">
        <v>3656</v>
      </c>
      <c r="O30" s="7">
        <v>4621</v>
      </c>
      <c r="P30" s="7">
        <v>3718</v>
      </c>
      <c r="Q30" s="7">
        <v>4244</v>
      </c>
      <c r="R30" s="7">
        <v>5000</v>
      </c>
      <c r="S30" s="7">
        <v>5705</v>
      </c>
      <c r="T30" s="7">
        <v>4327</v>
      </c>
      <c r="U30" s="7">
        <v>4998</v>
      </c>
      <c r="V30" s="7">
        <v>5487</v>
      </c>
      <c r="W30" s="7">
        <v>6446</v>
      </c>
      <c r="X30" s="7">
        <v>8567</v>
      </c>
      <c r="Y30" s="7">
        <v>8436</v>
      </c>
      <c r="Z30" s="7">
        <v>8717</v>
      </c>
    </row>
    <row r="31" spans="2:26" ht="15.75" thickBot="1" x14ac:dyDescent="0.3">
      <c r="B31" s="10" t="s">
        <v>30</v>
      </c>
      <c r="C31" s="11">
        <v>19325</v>
      </c>
      <c r="D31" s="11">
        <v>15691</v>
      </c>
      <c r="E31" s="11">
        <v>13084</v>
      </c>
      <c r="F31" s="11">
        <v>13667</v>
      </c>
      <c r="G31" s="11">
        <v>12796</v>
      </c>
      <c r="H31" s="11">
        <v>13420</v>
      </c>
      <c r="I31" s="11">
        <v>14112</v>
      </c>
      <c r="J31" s="11">
        <v>14444</v>
      </c>
      <c r="K31" s="11">
        <v>20506</v>
      </c>
      <c r="L31" s="11">
        <v>22836</v>
      </c>
      <c r="M31" s="11">
        <v>22285</v>
      </c>
      <c r="N31" s="11">
        <v>20589</v>
      </c>
      <c r="O31" s="11">
        <v>22659</v>
      </c>
      <c r="P31" s="11">
        <v>25994</v>
      </c>
      <c r="Q31" s="11">
        <v>27540</v>
      </c>
      <c r="R31" s="11">
        <v>28606</v>
      </c>
      <c r="S31" s="11">
        <v>30437</v>
      </c>
      <c r="T31" s="11">
        <v>22336</v>
      </c>
      <c r="U31" s="11">
        <v>28688</v>
      </c>
      <c r="V31" s="11">
        <v>32350</v>
      </c>
      <c r="W31" s="11">
        <v>35993</v>
      </c>
      <c r="X31" s="11">
        <v>35407</v>
      </c>
      <c r="Y31" s="11">
        <v>29940</v>
      </c>
      <c r="Z31" s="11">
        <v>27526</v>
      </c>
    </row>
    <row r="32" spans="2:26" ht="15.75" thickBot="1" x14ac:dyDescent="0.3">
      <c r="B32" s="6" t="s">
        <v>31</v>
      </c>
      <c r="C32" s="7">
        <v>10898</v>
      </c>
      <c r="D32" s="7">
        <v>8560</v>
      </c>
      <c r="E32" s="7">
        <v>7062</v>
      </c>
      <c r="F32" s="7">
        <v>6371</v>
      </c>
      <c r="G32" s="7">
        <v>5956</v>
      </c>
      <c r="H32" s="7">
        <v>5717</v>
      </c>
      <c r="I32" s="7">
        <v>5540</v>
      </c>
      <c r="J32" s="7">
        <v>5472</v>
      </c>
      <c r="K32" s="7">
        <v>6885</v>
      </c>
      <c r="L32" s="7">
        <v>6563</v>
      </c>
      <c r="M32" s="7">
        <v>6229</v>
      </c>
      <c r="N32" s="7">
        <v>5281</v>
      </c>
      <c r="O32" s="7">
        <v>5124</v>
      </c>
      <c r="P32" s="7">
        <v>5172</v>
      </c>
      <c r="Q32" s="7">
        <v>6415</v>
      </c>
      <c r="R32" s="7">
        <v>6562</v>
      </c>
      <c r="S32" s="7">
        <v>7101</v>
      </c>
      <c r="T32" s="7">
        <v>5605</v>
      </c>
      <c r="U32" s="7">
        <v>6602</v>
      </c>
      <c r="V32" s="7">
        <v>7303</v>
      </c>
      <c r="W32" s="7">
        <v>7665</v>
      </c>
      <c r="X32" s="7">
        <v>7954</v>
      </c>
      <c r="Y32" s="7">
        <v>6247</v>
      </c>
      <c r="Z32" s="7">
        <v>5838</v>
      </c>
    </row>
    <row r="33" spans="2:26" ht="15.75" thickBot="1" x14ac:dyDescent="0.3">
      <c r="B33" s="6" t="s">
        <v>32</v>
      </c>
      <c r="C33" s="7">
        <v>8427</v>
      </c>
      <c r="D33" s="7">
        <v>7131</v>
      </c>
      <c r="E33" s="7">
        <v>6022</v>
      </c>
      <c r="F33" s="7">
        <v>7296</v>
      </c>
      <c r="G33" s="7">
        <v>6840</v>
      </c>
      <c r="H33" s="7">
        <v>7703</v>
      </c>
      <c r="I33" s="7">
        <v>8572</v>
      </c>
      <c r="J33" s="7">
        <v>8972</v>
      </c>
      <c r="K33" s="7">
        <v>13621</v>
      </c>
      <c r="L33" s="7">
        <v>16273</v>
      </c>
      <c r="M33" s="7">
        <v>16056</v>
      </c>
      <c r="N33" s="7">
        <v>15308</v>
      </c>
      <c r="O33" s="7">
        <v>17535</v>
      </c>
      <c r="P33" s="7">
        <v>20822</v>
      </c>
      <c r="Q33" s="7">
        <v>21125</v>
      </c>
      <c r="R33" s="7">
        <v>22044</v>
      </c>
      <c r="S33" s="7">
        <v>23336</v>
      </c>
      <c r="T33" s="7">
        <v>16731</v>
      </c>
      <c r="U33" s="7">
        <v>22086</v>
      </c>
      <c r="V33" s="7">
        <v>25047</v>
      </c>
      <c r="W33" s="7">
        <v>28328</v>
      </c>
      <c r="X33" s="7">
        <v>27453</v>
      </c>
      <c r="Y33" s="7">
        <v>23693</v>
      </c>
      <c r="Z33" s="7">
        <v>21688</v>
      </c>
    </row>
    <row r="34" spans="2:26" ht="15.75" thickBot="1" x14ac:dyDescent="0.3">
      <c r="B34" s="10" t="s">
        <v>33</v>
      </c>
      <c r="C34" s="11">
        <v>138</v>
      </c>
      <c r="D34" s="11">
        <v>31</v>
      </c>
      <c r="E34" s="11">
        <v>44</v>
      </c>
      <c r="F34" s="11">
        <v>141</v>
      </c>
      <c r="G34" s="11">
        <v>97</v>
      </c>
      <c r="H34" s="11">
        <v>151</v>
      </c>
      <c r="I34" s="11">
        <v>162</v>
      </c>
      <c r="J34" s="11">
        <v>155</v>
      </c>
      <c r="K34" s="11">
        <v>183</v>
      </c>
      <c r="L34" s="11">
        <v>237</v>
      </c>
      <c r="M34" s="11">
        <v>281</v>
      </c>
      <c r="N34" s="11">
        <v>237</v>
      </c>
      <c r="O34" s="11">
        <v>253</v>
      </c>
      <c r="P34" s="11">
        <v>1180</v>
      </c>
      <c r="Q34" s="11">
        <v>1143</v>
      </c>
      <c r="R34" s="11">
        <v>1036</v>
      </c>
      <c r="S34" s="11">
        <v>991</v>
      </c>
      <c r="T34" s="11">
        <v>814</v>
      </c>
      <c r="U34" s="11">
        <v>1126</v>
      </c>
      <c r="V34" s="11">
        <v>746</v>
      </c>
      <c r="W34" s="11">
        <v>744</v>
      </c>
      <c r="X34" s="11">
        <v>780</v>
      </c>
      <c r="Y34" s="11">
        <v>600</v>
      </c>
      <c r="Z34" s="11">
        <v>598</v>
      </c>
    </row>
    <row r="35" spans="2:26" ht="15.75" thickBot="1" x14ac:dyDescent="0.3">
      <c r="B35" s="6" t="s">
        <v>34</v>
      </c>
      <c r="C35" s="7">
        <v>117</v>
      </c>
      <c r="D35" s="7">
        <v>24</v>
      </c>
      <c r="E35" s="7">
        <v>38</v>
      </c>
      <c r="F35" s="7">
        <v>110</v>
      </c>
      <c r="G35" s="7">
        <v>73</v>
      </c>
      <c r="H35" s="7">
        <v>120</v>
      </c>
      <c r="I35" s="7">
        <v>122</v>
      </c>
      <c r="J35" s="7">
        <v>117</v>
      </c>
      <c r="K35" s="7">
        <v>146</v>
      </c>
      <c r="L35" s="7">
        <v>197</v>
      </c>
      <c r="M35" s="7">
        <v>237</v>
      </c>
      <c r="N35" s="7">
        <v>202</v>
      </c>
      <c r="O35" s="7">
        <v>217</v>
      </c>
      <c r="P35" s="7">
        <v>1008</v>
      </c>
      <c r="Q35" s="7">
        <v>951</v>
      </c>
      <c r="R35" s="7">
        <v>869</v>
      </c>
      <c r="S35" s="7">
        <v>848</v>
      </c>
      <c r="T35" s="7">
        <v>725</v>
      </c>
      <c r="U35" s="7">
        <v>953</v>
      </c>
      <c r="V35" s="7">
        <v>631</v>
      </c>
      <c r="W35" s="7">
        <v>661</v>
      </c>
      <c r="X35" s="7">
        <v>688</v>
      </c>
      <c r="Y35" s="7">
        <v>497</v>
      </c>
      <c r="Z35" s="7">
        <v>532</v>
      </c>
    </row>
    <row r="36" spans="2:26" ht="15.75" thickBot="1" x14ac:dyDescent="0.3">
      <c r="B36" s="6" t="s">
        <v>35</v>
      </c>
      <c r="C36" s="7">
        <v>21</v>
      </c>
      <c r="D36" s="7">
        <v>7</v>
      </c>
      <c r="E36" s="7">
        <v>6</v>
      </c>
      <c r="F36" s="7">
        <v>31</v>
      </c>
      <c r="G36" s="7">
        <v>24</v>
      </c>
      <c r="H36" s="7">
        <v>31</v>
      </c>
      <c r="I36" s="7">
        <v>40</v>
      </c>
      <c r="J36" s="7">
        <v>38</v>
      </c>
      <c r="K36" s="7">
        <v>37</v>
      </c>
      <c r="L36" s="7">
        <v>40</v>
      </c>
      <c r="M36" s="7">
        <v>44</v>
      </c>
      <c r="N36" s="7">
        <v>35</v>
      </c>
      <c r="O36" s="7">
        <v>36</v>
      </c>
      <c r="P36" s="7">
        <v>172</v>
      </c>
      <c r="Q36" s="7">
        <v>192</v>
      </c>
      <c r="R36" s="7">
        <v>167</v>
      </c>
      <c r="S36" s="7">
        <v>143</v>
      </c>
      <c r="T36" s="7">
        <v>89</v>
      </c>
      <c r="U36" s="7">
        <v>173</v>
      </c>
      <c r="V36" s="7">
        <v>115</v>
      </c>
      <c r="W36" s="7">
        <v>83</v>
      </c>
      <c r="X36" s="7">
        <v>92</v>
      </c>
      <c r="Y36" s="7">
        <v>103</v>
      </c>
      <c r="Z36" s="7">
        <v>66</v>
      </c>
    </row>
    <row r="37" spans="2:26" ht="32.1" customHeight="1" thickBot="1" x14ac:dyDescent="0.3">
      <c r="B37" s="3" t="s">
        <v>36</v>
      </c>
      <c r="C37" s="9" t="s">
        <v>114</v>
      </c>
      <c r="D37" s="9" t="s">
        <v>115</v>
      </c>
      <c r="E37" s="9" t="s">
        <v>116</v>
      </c>
      <c r="F37" s="9" t="s">
        <v>117</v>
      </c>
      <c r="G37" s="9" t="s">
        <v>118</v>
      </c>
      <c r="H37" s="9" t="s">
        <v>119</v>
      </c>
      <c r="I37" s="9" t="s">
        <v>120</v>
      </c>
      <c r="J37" s="9" t="s">
        <v>121</v>
      </c>
      <c r="K37" s="9" t="s">
        <v>122</v>
      </c>
      <c r="L37" s="9" t="s">
        <v>123</v>
      </c>
      <c r="M37" s="9" t="s">
        <v>124</v>
      </c>
      <c r="N37" s="9" t="s">
        <v>125</v>
      </c>
      <c r="O37" s="9" t="s">
        <v>126</v>
      </c>
      <c r="P37" s="9" t="s">
        <v>127</v>
      </c>
      <c r="Q37" s="9" t="s">
        <v>128</v>
      </c>
      <c r="R37" s="9" t="s">
        <v>129</v>
      </c>
      <c r="S37" s="9" t="s">
        <v>130</v>
      </c>
      <c r="T37" s="9" t="s">
        <v>131</v>
      </c>
      <c r="U37" s="9" t="s">
        <v>132</v>
      </c>
      <c r="V37" s="5" t="s">
        <v>133</v>
      </c>
      <c r="W37" s="5" t="s">
        <v>134</v>
      </c>
      <c r="X37" s="5" t="s">
        <v>135</v>
      </c>
      <c r="Y37" s="5" t="s">
        <v>136</v>
      </c>
      <c r="Z37" s="5" t="s">
        <v>137</v>
      </c>
    </row>
    <row r="38" spans="2:26" ht="16.5" thickTop="1" thickBot="1" x14ac:dyDescent="0.3">
      <c r="B38" s="6" t="s">
        <v>37</v>
      </c>
      <c r="C38" s="7">
        <v>7022</v>
      </c>
      <c r="D38" s="7">
        <v>8190</v>
      </c>
      <c r="E38" s="7">
        <v>8705</v>
      </c>
      <c r="F38" s="7">
        <v>12787</v>
      </c>
      <c r="G38" s="7">
        <v>14407</v>
      </c>
      <c r="H38" s="7">
        <v>15322</v>
      </c>
      <c r="I38" s="7">
        <v>17890</v>
      </c>
      <c r="J38" s="7">
        <v>16440</v>
      </c>
      <c r="K38" s="7">
        <v>18925</v>
      </c>
      <c r="L38" s="7">
        <v>23521</v>
      </c>
      <c r="M38" s="7">
        <v>24530</v>
      </c>
      <c r="N38" s="7">
        <v>35047</v>
      </c>
      <c r="O38" s="7">
        <v>50686</v>
      </c>
      <c r="P38" s="7">
        <v>67147</v>
      </c>
      <c r="Q38" s="7">
        <v>68772</v>
      </c>
      <c r="R38" s="7">
        <v>69746</v>
      </c>
      <c r="S38" s="7">
        <v>74067</v>
      </c>
      <c r="T38" s="7">
        <v>77351</v>
      </c>
      <c r="U38" s="7">
        <v>84149</v>
      </c>
      <c r="V38" s="7">
        <v>77972</v>
      </c>
      <c r="W38" s="7">
        <v>72888</v>
      </c>
      <c r="X38" s="7">
        <v>89145</v>
      </c>
      <c r="Y38" s="7">
        <v>93509</v>
      </c>
      <c r="Z38" s="7">
        <v>105108</v>
      </c>
    </row>
    <row r="39" spans="2:26" ht="32.25" customHeight="1" thickBot="1" x14ac:dyDescent="0.3">
      <c r="B39" s="3" t="s">
        <v>38</v>
      </c>
      <c r="C39" s="9" t="s">
        <v>114</v>
      </c>
      <c r="D39" s="9" t="s">
        <v>115</v>
      </c>
      <c r="E39" s="9" t="s">
        <v>116</v>
      </c>
      <c r="F39" s="9" t="s">
        <v>117</v>
      </c>
      <c r="G39" s="9" t="s">
        <v>118</v>
      </c>
      <c r="H39" s="9" t="s">
        <v>119</v>
      </c>
      <c r="I39" s="9" t="s">
        <v>120</v>
      </c>
      <c r="J39" s="9" t="s">
        <v>121</v>
      </c>
      <c r="K39" s="9" t="s">
        <v>122</v>
      </c>
      <c r="L39" s="9" t="s">
        <v>123</v>
      </c>
      <c r="M39" s="9" t="s">
        <v>124</v>
      </c>
      <c r="N39" s="9" t="s">
        <v>125</v>
      </c>
      <c r="O39" s="9" t="s">
        <v>126</v>
      </c>
      <c r="P39" s="9" t="s">
        <v>127</v>
      </c>
      <c r="Q39" s="9" t="s">
        <v>128</v>
      </c>
      <c r="R39" s="9" t="s">
        <v>129</v>
      </c>
      <c r="S39" s="9" t="s">
        <v>130</v>
      </c>
      <c r="T39" s="9" t="s">
        <v>131</v>
      </c>
      <c r="U39" s="9" t="s">
        <v>132</v>
      </c>
      <c r="V39" s="5" t="s">
        <v>133</v>
      </c>
      <c r="W39" s="5" t="s">
        <v>134</v>
      </c>
      <c r="X39" s="5" t="s">
        <v>135</v>
      </c>
      <c r="Y39" s="5" t="s">
        <v>136</v>
      </c>
      <c r="Z39" s="5" t="s">
        <v>137</v>
      </c>
    </row>
    <row r="40" spans="2:26" ht="16.5" thickTop="1" thickBot="1" x14ac:dyDescent="0.3">
      <c r="B40" s="6" t="s">
        <v>39</v>
      </c>
      <c r="C40" s="7">
        <v>0</v>
      </c>
      <c r="D40" s="7">
        <v>0</v>
      </c>
      <c r="E40" s="7">
        <v>0</v>
      </c>
      <c r="F40" s="7">
        <v>1</v>
      </c>
      <c r="G40" s="7">
        <v>0</v>
      </c>
      <c r="H40" s="7">
        <v>1</v>
      </c>
      <c r="I40" s="7">
        <v>242</v>
      </c>
      <c r="J40" s="7">
        <v>613</v>
      </c>
      <c r="K40" s="7">
        <v>956</v>
      </c>
      <c r="L40" s="7">
        <v>2149</v>
      </c>
      <c r="M40" s="7">
        <v>2957</v>
      </c>
      <c r="N40" s="7">
        <v>2538</v>
      </c>
      <c r="O40" s="7">
        <v>4850</v>
      </c>
      <c r="P40" s="7">
        <v>5771</v>
      </c>
      <c r="Q40" s="7">
        <v>8865</v>
      </c>
      <c r="R40" s="7">
        <v>14385</v>
      </c>
      <c r="S40" s="7">
        <v>13493</v>
      </c>
      <c r="T40" s="7">
        <v>29109</v>
      </c>
      <c r="U40" s="7">
        <v>36030</v>
      </c>
      <c r="V40" s="7">
        <v>42329</v>
      </c>
      <c r="W40" s="7">
        <v>40033</v>
      </c>
      <c r="X40" s="7">
        <v>50606</v>
      </c>
      <c r="Y40" s="7">
        <v>47056</v>
      </c>
      <c r="Z40" s="7">
        <v>64596</v>
      </c>
    </row>
    <row r="41" spans="2:26" ht="32.1" customHeight="1" thickBot="1" x14ac:dyDescent="0.3">
      <c r="B41" s="3" t="s">
        <v>40</v>
      </c>
      <c r="C41" s="9" t="s">
        <v>114</v>
      </c>
      <c r="D41" s="9" t="s">
        <v>115</v>
      </c>
      <c r="E41" s="9" t="s">
        <v>116</v>
      </c>
      <c r="F41" s="9" t="s">
        <v>117</v>
      </c>
      <c r="G41" s="9" t="s">
        <v>118</v>
      </c>
      <c r="H41" s="9" t="s">
        <v>119</v>
      </c>
      <c r="I41" s="9" t="s">
        <v>120</v>
      </c>
      <c r="J41" s="9" t="s">
        <v>121</v>
      </c>
      <c r="K41" s="9" t="s">
        <v>122</v>
      </c>
      <c r="L41" s="9" t="s">
        <v>123</v>
      </c>
      <c r="M41" s="9" t="s">
        <v>124</v>
      </c>
      <c r="N41" s="9" t="s">
        <v>125</v>
      </c>
      <c r="O41" s="9" t="s">
        <v>126</v>
      </c>
      <c r="P41" s="9" t="s">
        <v>127</v>
      </c>
      <c r="Q41" s="9" t="s">
        <v>128</v>
      </c>
      <c r="R41" s="9" t="s">
        <v>129</v>
      </c>
      <c r="S41" s="9" t="s">
        <v>130</v>
      </c>
      <c r="T41" s="9" t="s">
        <v>131</v>
      </c>
      <c r="U41" s="9" t="s">
        <v>132</v>
      </c>
      <c r="V41" s="5" t="s">
        <v>133</v>
      </c>
      <c r="W41" s="5" t="s">
        <v>134</v>
      </c>
      <c r="X41" s="5" t="s">
        <v>135</v>
      </c>
      <c r="Y41" s="5" t="s">
        <v>136</v>
      </c>
      <c r="Z41" s="5" t="s">
        <v>137</v>
      </c>
    </row>
    <row r="42" spans="2:26" ht="16.5" thickTop="1" thickBot="1" x14ac:dyDescent="0.3">
      <c r="B42" s="6" t="s">
        <v>41</v>
      </c>
      <c r="C42" s="7">
        <v>1077</v>
      </c>
      <c r="D42" s="7">
        <v>1805</v>
      </c>
      <c r="E42" s="7">
        <v>2374</v>
      </c>
      <c r="F42" s="7">
        <v>3434</v>
      </c>
      <c r="G42" s="7">
        <v>3343</v>
      </c>
      <c r="H42" s="7">
        <v>3848</v>
      </c>
      <c r="I42" s="7">
        <v>3781</v>
      </c>
      <c r="J42" s="7">
        <v>2950</v>
      </c>
      <c r="K42" s="7">
        <v>1497</v>
      </c>
      <c r="L42" s="7">
        <v>2890</v>
      </c>
      <c r="M42" s="7">
        <v>3907</v>
      </c>
      <c r="N42" s="7">
        <v>1883</v>
      </c>
      <c r="O42" s="7">
        <v>2520</v>
      </c>
      <c r="P42" s="7">
        <v>4038</v>
      </c>
      <c r="Q42" s="7">
        <v>3734</v>
      </c>
      <c r="R42" s="7">
        <v>3632</v>
      </c>
      <c r="S42" s="7">
        <v>3494</v>
      </c>
      <c r="T42" s="7">
        <v>2895</v>
      </c>
      <c r="U42" s="7">
        <v>2746</v>
      </c>
      <c r="V42" s="7">
        <v>1895</v>
      </c>
      <c r="W42" s="7">
        <v>2394</v>
      </c>
      <c r="X42" s="7">
        <v>2149</v>
      </c>
      <c r="Y42" s="7">
        <v>2002</v>
      </c>
      <c r="Z42" s="7">
        <v>1937</v>
      </c>
    </row>
    <row r="43" spans="2:26" ht="15.75" thickBot="1" x14ac:dyDescent="0.3">
      <c r="C43" s="12"/>
      <c r="Q43" s="12"/>
      <c r="R43" s="12"/>
      <c r="S43" s="12"/>
      <c r="T43" s="12"/>
    </row>
    <row r="44" spans="2:26" x14ac:dyDescent="0.25">
      <c r="B44" s="46" t="s">
        <v>42</v>
      </c>
      <c r="C44" s="46"/>
      <c r="D44" s="46"/>
      <c r="E44" s="46"/>
      <c r="F44" s="13"/>
      <c r="G44" s="48"/>
      <c r="H44" s="48"/>
      <c r="I44" s="48"/>
      <c r="J44" s="48"/>
      <c r="K44" s="48"/>
      <c r="L44" s="48"/>
      <c r="M44" s="48"/>
      <c r="N44" s="48"/>
      <c r="O44" s="48"/>
      <c r="P44" s="48"/>
      <c r="Q44" s="48"/>
      <c r="R44" s="48"/>
      <c r="S44" s="48"/>
      <c r="T44" s="48"/>
      <c r="U44" s="48"/>
      <c r="V44" s="48"/>
      <c r="W44" s="48"/>
    </row>
    <row r="45" spans="2:26" x14ac:dyDescent="0.25">
      <c r="B45" s="47"/>
      <c r="C45" s="47"/>
      <c r="D45" s="47"/>
      <c r="E45" s="47"/>
      <c r="F45" s="13"/>
      <c r="G45" s="48"/>
      <c r="H45" s="48"/>
      <c r="I45" s="48"/>
      <c r="J45" s="48"/>
      <c r="K45" s="48"/>
      <c r="L45" s="48"/>
      <c r="M45" s="48"/>
      <c r="N45" s="48"/>
      <c r="O45" s="48"/>
      <c r="P45" s="48"/>
      <c r="Q45" s="48"/>
      <c r="R45" s="48"/>
      <c r="S45" s="48"/>
      <c r="T45" s="48"/>
      <c r="U45" s="48"/>
      <c r="V45" s="48"/>
      <c r="W45" s="48"/>
    </row>
    <row r="46" spans="2:26" x14ac:dyDescent="0.25">
      <c r="B46" s="14" t="s">
        <v>43</v>
      </c>
      <c r="C46" s="15"/>
      <c r="D46" s="13"/>
      <c r="E46" s="13"/>
      <c r="F46" s="13"/>
      <c r="G46" s="48"/>
      <c r="H46" s="48"/>
      <c r="I46" s="48"/>
      <c r="J46" s="48"/>
      <c r="K46" s="48"/>
      <c r="L46" s="48"/>
      <c r="M46" s="48"/>
      <c r="N46" s="48"/>
      <c r="O46" s="48"/>
      <c r="P46" s="48"/>
      <c r="Q46" s="48"/>
      <c r="R46" s="48"/>
      <c r="S46" s="48"/>
      <c r="T46" s="48"/>
      <c r="U46" s="48"/>
      <c r="V46" s="48"/>
      <c r="W46" s="48"/>
    </row>
    <row r="47" spans="2:26" x14ac:dyDescent="0.25">
      <c r="B47" s="16"/>
      <c r="C47" s="15"/>
      <c r="D47" s="13"/>
      <c r="E47" s="13"/>
      <c r="F47" s="13"/>
      <c r="G47" s="48"/>
      <c r="H47" s="48"/>
      <c r="I47" s="48"/>
      <c r="J47" s="48"/>
      <c r="K47" s="48"/>
      <c r="L47" s="48"/>
      <c r="M47" s="48"/>
      <c r="N47" s="48"/>
      <c r="O47" s="48"/>
      <c r="P47" s="48"/>
      <c r="Q47" s="48"/>
      <c r="R47" s="48"/>
      <c r="S47" s="48"/>
      <c r="T47" s="48"/>
      <c r="U47" s="48"/>
      <c r="V47" s="48"/>
      <c r="W47" s="48"/>
    </row>
    <row r="48" spans="2:26" x14ac:dyDescent="0.25">
      <c r="B48" s="13"/>
      <c r="C48" s="13"/>
      <c r="D48" s="13"/>
      <c r="E48" s="13"/>
      <c r="F48" s="13"/>
      <c r="G48" s="48"/>
      <c r="H48" s="48"/>
      <c r="I48" s="48"/>
      <c r="J48" s="48"/>
      <c r="K48" s="48"/>
      <c r="L48" s="48"/>
      <c r="M48" s="48"/>
      <c r="N48" s="48"/>
      <c r="O48" s="48"/>
      <c r="P48" s="48"/>
      <c r="Q48" s="48"/>
      <c r="R48" s="48"/>
      <c r="S48" s="48"/>
      <c r="T48" s="48"/>
      <c r="U48" s="48"/>
      <c r="V48" s="48"/>
      <c r="W48" s="48"/>
    </row>
    <row r="49" spans="2:26" ht="17.25" x14ac:dyDescent="0.3">
      <c r="B49" s="41" t="s">
        <v>0</v>
      </c>
      <c r="C49" s="41"/>
      <c r="D49" s="41"/>
      <c r="E49" s="41"/>
      <c r="F49" s="41"/>
      <c r="G49" s="41"/>
      <c r="H49" s="41"/>
      <c r="I49" s="41"/>
      <c r="J49" s="41"/>
      <c r="K49" s="41"/>
      <c r="L49" s="41"/>
      <c r="M49" s="41"/>
      <c r="N49" s="41"/>
      <c r="O49" s="41"/>
      <c r="P49" s="41"/>
      <c r="Q49" s="41"/>
      <c r="R49" s="41"/>
      <c r="S49" s="41"/>
      <c r="T49" s="41"/>
    </row>
    <row r="50" spans="2:26" ht="17.25" x14ac:dyDescent="0.3">
      <c r="B50" s="41" t="s">
        <v>1</v>
      </c>
      <c r="C50" s="41"/>
      <c r="D50" s="41"/>
      <c r="E50" s="41"/>
      <c r="F50" s="41"/>
      <c r="G50" s="41"/>
      <c r="H50" s="41"/>
      <c r="I50" s="41"/>
      <c r="J50" s="41"/>
      <c r="K50" s="41"/>
      <c r="L50" s="41"/>
      <c r="M50" s="41"/>
      <c r="N50" s="41"/>
      <c r="O50" s="41"/>
      <c r="P50" s="41"/>
      <c r="Q50" s="41"/>
      <c r="R50" s="41"/>
      <c r="S50" s="41"/>
      <c r="T50" s="41"/>
    </row>
    <row r="51" spans="2:26" ht="17.25" x14ac:dyDescent="0.3">
      <c r="B51" s="42" t="s">
        <v>2</v>
      </c>
      <c r="C51" s="42"/>
      <c r="D51" s="42"/>
      <c r="E51" s="42"/>
      <c r="F51" s="42"/>
      <c r="G51" s="42"/>
      <c r="H51" s="42"/>
      <c r="I51" s="42"/>
      <c r="J51" s="42"/>
      <c r="K51" s="42"/>
      <c r="L51" s="42"/>
      <c r="M51" s="42"/>
      <c r="N51" s="42"/>
      <c r="O51" s="42"/>
      <c r="P51" s="42"/>
      <c r="Q51" s="42"/>
      <c r="R51" s="42"/>
      <c r="S51" s="42"/>
      <c r="T51" s="42"/>
    </row>
    <row r="52" spans="2:26" ht="18" thickBot="1" x14ac:dyDescent="0.35">
      <c r="B52" s="43" t="s">
        <v>3</v>
      </c>
      <c r="C52" s="43"/>
      <c r="D52" s="43"/>
      <c r="E52" s="43"/>
      <c r="F52" s="43"/>
      <c r="G52" s="43"/>
      <c r="H52" s="43"/>
      <c r="I52" s="43"/>
      <c r="J52" s="43"/>
      <c r="K52" s="43"/>
      <c r="L52" s="43"/>
      <c r="M52" s="43"/>
      <c r="N52" s="43"/>
      <c r="O52" s="43"/>
      <c r="P52" s="43"/>
      <c r="Q52" s="43"/>
      <c r="R52" s="43"/>
      <c r="S52" s="43"/>
      <c r="T52" s="43"/>
    </row>
    <row r="53" spans="2:26" ht="32.1" customHeight="1" thickBot="1" x14ac:dyDescent="0.3">
      <c r="B53" s="3" t="s">
        <v>44</v>
      </c>
      <c r="C53" s="9" t="s">
        <v>114</v>
      </c>
      <c r="D53" s="9" t="s">
        <v>115</v>
      </c>
      <c r="E53" s="9" t="s">
        <v>116</v>
      </c>
      <c r="F53" s="9" t="s">
        <v>117</v>
      </c>
      <c r="G53" s="9" t="s">
        <v>118</v>
      </c>
      <c r="H53" s="9" t="s">
        <v>119</v>
      </c>
      <c r="I53" s="9" t="s">
        <v>120</v>
      </c>
      <c r="J53" s="9" t="s">
        <v>121</v>
      </c>
      <c r="K53" s="9" t="s">
        <v>122</v>
      </c>
      <c r="L53" s="9" t="s">
        <v>123</v>
      </c>
      <c r="M53" s="9" t="s">
        <v>124</v>
      </c>
      <c r="N53" s="9" t="s">
        <v>125</v>
      </c>
      <c r="O53" s="9" t="s">
        <v>126</v>
      </c>
      <c r="P53" s="9" t="s">
        <v>127</v>
      </c>
      <c r="Q53" s="9" t="s">
        <v>128</v>
      </c>
      <c r="R53" s="9" t="s">
        <v>129</v>
      </c>
      <c r="S53" s="9" t="s">
        <v>130</v>
      </c>
      <c r="T53" s="9" t="s">
        <v>131</v>
      </c>
      <c r="U53" s="9" t="s">
        <v>132</v>
      </c>
      <c r="V53" s="5" t="s">
        <v>133</v>
      </c>
      <c r="W53" s="5" t="s">
        <v>134</v>
      </c>
      <c r="X53" s="5" t="s">
        <v>135</v>
      </c>
      <c r="Y53" s="5" t="s">
        <v>136</v>
      </c>
      <c r="Z53" s="5" t="s">
        <v>137</v>
      </c>
    </row>
    <row r="54" spans="2:26" ht="16.5" thickTop="1" thickBot="1" x14ac:dyDescent="0.3">
      <c r="B54" s="10" t="s">
        <v>45</v>
      </c>
      <c r="C54" s="11"/>
      <c r="D54" s="11"/>
      <c r="E54" s="11">
        <v>317</v>
      </c>
      <c r="F54" s="11">
        <v>413</v>
      </c>
      <c r="G54" s="11">
        <v>220</v>
      </c>
      <c r="H54" s="11">
        <v>249</v>
      </c>
      <c r="I54" s="11">
        <v>233</v>
      </c>
      <c r="J54" s="11">
        <v>204</v>
      </c>
      <c r="K54" s="11">
        <v>254</v>
      </c>
      <c r="L54" s="11">
        <v>515</v>
      </c>
      <c r="M54" s="11">
        <v>506</v>
      </c>
      <c r="N54" s="11">
        <v>408</v>
      </c>
      <c r="O54" s="11">
        <v>343</v>
      </c>
      <c r="P54" s="11">
        <v>605</v>
      </c>
      <c r="Q54" s="11">
        <v>496</v>
      </c>
      <c r="R54" s="11">
        <v>591</v>
      </c>
      <c r="S54" s="11">
        <v>534</v>
      </c>
      <c r="T54" s="11">
        <v>296</v>
      </c>
      <c r="U54" s="11">
        <v>458</v>
      </c>
      <c r="V54" s="11">
        <v>622</v>
      </c>
      <c r="W54" s="11">
        <v>597</v>
      </c>
      <c r="X54" s="11">
        <v>785</v>
      </c>
      <c r="Y54" s="11">
        <v>972</v>
      </c>
      <c r="Z54" s="11">
        <v>975</v>
      </c>
    </row>
    <row r="55" spans="2:26" ht="15.75" thickBot="1" x14ac:dyDescent="0.3">
      <c r="B55" s="6" t="s">
        <v>46</v>
      </c>
      <c r="C55" s="7"/>
      <c r="D55" s="7"/>
      <c r="E55" s="7">
        <v>3</v>
      </c>
      <c r="F55" s="7">
        <v>3</v>
      </c>
      <c r="G55" s="7">
        <v>4</v>
      </c>
      <c r="H55" s="7">
        <v>10</v>
      </c>
      <c r="I55" s="7">
        <v>14</v>
      </c>
      <c r="J55" s="7">
        <v>6</v>
      </c>
      <c r="K55" s="7">
        <v>31</v>
      </c>
      <c r="L55" s="7">
        <v>30</v>
      </c>
      <c r="M55" s="7">
        <v>36</v>
      </c>
      <c r="N55" s="7">
        <v>23</v>
      </c>
      <c r="O55" s="7">
        <v>42</v>
      </c>
      <c r="P55" s="7">
        <v>154</v>
      </c>
      <c r="Q55" s="7">
        <v>121</v>
      </c>
      <c r="R55" s="7">
        <v>92</v>
      </c>
      <c r="S55" s="7">
        <v>84</v>
      </c>
      <c r="T55" s="7">
        <v>83</v>
      </c>
      <c r="U55" s="7">
        <v>99</v>
      </c>
      <c r="V55" s="7">
        <v>121</v>
      </c>
      <c r="W55" s="7">
        <v>211</v>
      </c>
      <c r="X55" s="7">
        <v>427</v>
      </c>
      <c r="Y55" s="7">
        <v>530</v>
      </c>
      <c r="Z55" s="7">
        <v>496</v>
      </c>
    </row>
    <row r="56" spans="2:26" ht="15.75" thickBot="1" x14ac:dyDescent="0.3">
      <c r="B56" s="6" t="s">
        <v>47</v>
      </c>
      <c r="C56" s="7"/>
      <c r="D56" s="7"/>
      <c r="E56" s="7">
        <v>314</v>
      </c>
      <c r="F56" s="7">
        <v>410</v>
      </c>
      <c r="G56" s="7">
        <v>216</v>
      </c>
      <c r="H56" s="7">
        <v>239</v>
      </c>
      <c r="I56" s="7">
        <v>219</v>
      </c>
      <c r="J56" s="7">
        <v>198</v>
      </c>
      <c r="K56" s="7">
        <v>223</v>
      </c>
      <c r="L56" s="7">
        <v>485</v>
      </c>
      <c r="M56" s="7">
        <v>470</v>
      </c>
      <c r="N56" s="7">
        <v>385</v>
      </c>
      <c r="O56" s="7">
        <v>301</v>
      </c>
      <c r="P56" s="7">
        <v>451</v>
      </c>
      <c r="Q56" s="7">
        <v>375</v>
      </c>
      <c r="R56" s="7">
        <v>499</v>
      </c>
      <c r="S56" s="7">
        <v>450</v>
      </c>
      <c r="T56" s="7">
        <v>213</v>
      </c>
      <c r="U56" s="7">
        <v>359</v>
      </c>
      <c r="V56" s="7">
        <v>501</v>
      </c>
      <c r="W56" s="7">
        <v>386</v>
      </c>
      <c r="X56" s="7">
        <v>358</v>
      </c>
      <c r="Y56" s="7">
        <v>442</v>
      </c>
      <c r="Z56" s="7">
        <v>479</v>
      </c>
    </row>
    <row r="57" spans="2:26" ht="15.75" thickBot="1" x14ac:dyDescent="0.3">
      <c r="B57" s="6" t="s">
        <v>48</v>
      </c>
      <c r="C57" s="7"/>
      <c r="D57" s="7"/>
      <c r="E57" s="7"/>
      <c r="F57" s="7"/>
      <c r="G57" s="7"/>
      <c r="H57" s="7"/>
      <c r="I57" s="7"/>
      <c r="J57" s="7"/>
      <c r="K57" s="7"/>
      <c r="L57" s="7"/>
      <c r="M57" s="7"/>
      <c r="N57" s="7"/>
      <c r="O57" s="7"/>
      <c r="P57" s="7"/>
      <c r="Q57" s="7"/>
      <c r="R57" s="7"/>
      <c r="S57" s="7"/>
      <c r="T57" s="7"/>
      <c r="U57" s="7"/>
      <c r="V57" s="7">
        <v>187</v>
      </c>
      <c r="W57" s="7">
        <v>256</v>
      </c>
      <c r="X57" s="7">
        <v>318</v>
      </c>
      <c r="Y57" s="7">
        <v>321</v>
      </c>
      <c r="Z57" s="7">
        <v>229</v>
      </c>
    </row>
    <row r="58" spans="2:26" ht="15.75" thickBot="1" x14ac:dyDescent="0.3">
      <c r="B58" s="10" t="s">
        <v>49</v>
      </c>
      <c r="C58" s="11">
        <v>191</v>
      </c>
      <c r="D58" s="11">
        <v>111</v>
      </c>
      <c r="E58" s="11">
        <v>61</v>
      </c>
      <c r="F58" s="11">
        <v>90</v>
      </c>
      <c r="G58" s="11">
        <v>35</v>
      </c>
      <c r="H58" s="11">
        <v>72</v>
      </c>
      <c r="I58" s="11">
        <v>63</v>
      </c>
      <c r="J58" s="11">
        <v>57</v>
      </c>
      <c r="K58" s="11">
        <v>49</v>
      </c>
      <c r="L58" s="11">
        <v>191</v>
      </c>
      <c r="M58" s="11">
        <v>193</v>
      </c>
      <c r="N58" s="11">
        <v>132</v>
      </c>
      <c r="O58" s="11">
        <v>91</v>
      </c>
      <c r="P58" s="11">
        <v>34</v>
      </c>
      <c r="Q58" s="11">
        <v>48</v>
      </c>
      <c r="R58" s="11">
        <v>84</v>
      </c>
      <c r="S58" s="11">
        <v>56</v>
      </c>
      <c r="T58" s="11">
        <v>104</v>
      </c>
      <c r="U58" s="11">
        <v>26</v>
      </c>
      <c r="V58" s="11">
        <v>66</v>
      </c>
      <c r="W58" s="11">
        <v>47</v>
      </c>
      <c r="X58" s="11">
        <v>39</v>
      </c>
      <c r="Y58" s="11">
        <v>48</v>
      </c>
      <c r="Z58" s="11">
        <v>15</v>
      </c>
    </row>
    <row r="59" spans="2:26" ht="15.75" thickBot="1" x14ac:dyDescent="0.3">
      <c r="B59" s="6" t="s">
        <v>50</v>
      </c>
      <c r="C59" s="7">
        <v>0</v>
      </c>
      <c r="D59" s="7">
        <v>0</v>
      </c>
      <c r="E59" s="7">
        <v>0</v>
      </c>
      <c r="F59" s="7">
        <v>0</v>
      </c>
      <c r="G59" s="7">
        <v>0</v>
      </c>
      <c r="H59" s="7">
        <v>0</v>
      </c>
      <c r="I59" s="7">
        <v>0</v>
      </c>
      <c r="J59" s="7">
        <v>16</v>
      </c>
      <c r="K59" s="7">
        <v>21</v>
      </c>
      <c r="L59" s="7">
        <v>119</v>
      </c>
      <c r="M59" s="7">
        <v>169</v>
      </c>
      <c r="N59" s="7">
        <v>109</v>
      </c>
      <c r="O59" s="7">
        <v>75</v>
      </c>
      <c r="P59" s="7">
        <v>31</v>
      </c>
      <c r="Q59" s="7">
        <v>44</v>
      </c>
      <c r="R59" s="7">
        <v>80</v>
      </c>
      <c r="S59" s="7">
        <v>51</v>
      </c>
      <c r="T59" s="7">
        <v>32</v>
      </c>
      <c r="U59" s="7">
        <v>23</v>
      </c>
      <c r="V59" s="7">
        <v>19</v>
      </c>
      <c r="W59" s="7">
        <v>33</v>
      </c>
      <c r="X59" s="7">
        <v>13</v>
      </c>
      <c r="Y59" s="7">
        <v>26</v>
      </c>
      <c r="Z59" s="7">
        <v>11</v>
      </c>
    </row>
    <row r="60" spans="2:26" ht="15.75" thickBot="1" x14ac:dyDescent="0.3">
      <c r="B60" s="6" t="s">
        <v>51</v>
      </c>
      <c r="C60" s="7">
        <v>160</v>
      </c>
      <c r="D60" s="7">
        <v>104</v>
      </c>
      <c r="E60" s="7">
        <v>56</v>
      </c>
      <c r="F60" s="7">
        <v>84</v>
      </c>
      <c r="G60" s="7">
        <v>35</v>
      </c>
      <c r="H60" s="7">
        <v>70</v>
      </c>
      <c r="I60" s="7">
        <v>62</v>
      </c>
      <c r="J60" s="7">
        <v>41</v>
      </c>
      <c r="K60" s="7">
        <v>27</v>
      </c>
      <c r="L60" s="7">
        <v>66</v>
      </c>
      <c r="M60" s="7">
        <v>22</v>
      </c>
      <c r="N60" s="7">
        <v>21</v>
      </c>
      <c r="O60" s="7">
        <v>15</v>
      </c>
      <c r="P60" s="7">
        <v>2</v>
      </c>
      <c r="Q60" s="7">
        <v>4</v>
      </c>
      <c r="R60" s="7">
        <v>3</v>
      </c>
      <c r="S60" s="7">
        <v>5</v>
      </c>
      <c r="T60" s="7">
        <v>72</v>
      </c>
      <c r="U60" s="7">
        <v>2</v>
      </c>
      <c r="V60" s="7">
        <v>46</v>
      </c>
      <c r="W60" s="7">
        <v>14</v>
      </c>
      <c r="X60" s="7">
        <v>26</v>
      </c>
      <c r="Y60" s="7">
        <v>22</v>
      </c>
      <c r="Z60" s="7">
        <v>4</v>
      </c>
    </row>
    <row r="61" spans="2:26" ht="15.75" thickBot="1" x14ac:dyDescent="0.3">
      <c r="B61" s="6" t="s">
        <v>52</v>
      </c>
      <c r="C61" s="7">
        <v>31</v>
      </c>
      <c r="D61" s="7">
        <v>7</v>
      </c>
      <c r="E61" s="7">
        <v>5</v>
      </c>
      <c r="F61" s="7">
        <v>6</v>
      </c>
      <c r="G61" s="7">
        <v>0</v>
      </c>
      <c r="H61" s="7">
        <v>2</v>
      </c>
      <c r="I61" s="7">
        <v>1</v>
      </c>
      <c r="J61" s="7">
        <v>0</v>
      </c>
      <c r="K61" s="7">
        <v>1</v>
      </c>
      <c r="L61" s="7">
        <v>6</v>
      </c>
      <c r="M61" s="7">
        <v>2</v>
      </c>
      <c r="N61" s="7">
        <v>2</v>
      </c>
      <c r="O61" s="7">
        <v>1</v>
      </c>
      <c r="P61" s="7">
        <v>1</v>
      </c>
      <c r="Q61" s="7">
        <v>0</v>
      </c>
      <c r="R61" s="7">
        <v>1</v>
      </c>
      <c r="S61" s="7">
        <v>0</v>
      </c>
      <c r="T61" s="7">
        <v>0</v>
      </c>
      <c r="U61" s="7">
        <v>1</v>
      </c>
      <c r="V61" s="7">
        <v>1</v>
      </c>
      <c r="W61" s="7">
        <v>0</v>
      </c>
      <c r="X61" s="7">
        <v>0</v>
      </c>
      <c r="Y61" s="7">
        <v>0</v>
      </c>
      <c r="Z61" s="7">
        <v>0</v>
      </c>
    </row>
    <row r="62" spans="2:26" ht="18" thickBot="1" x14ac:dyDescent="0.35">
      <c r="B62" s="2" t="s">
        <v>53</v>
      </c>
      <c r="C62" s="17"/>
      <c r="D62" s="18"/>
      <c r="E62" s="18"/>
      <c r="F62" s="18"/>
      <c r="G62" s="18"/>
      <c r="H62" s="18"/>
      <c r="I62" s="18"/>
      <c r="J62" s="18"/>
      <c r="K62" s="18"/>
      <c r="L62" s="18"/>
      <c r="M62" s="18"/>
      <c r="N62" s="18"/>
      <c r="O62" s="18"/>
      <c r="P62" s="18"/>
      <c r="Q62" s="18"/>
      <c r="R62" s="18"/>
      <c r="S62" s="18"/>
      <c r="T62" s="18"/>
    </row>
    <row r="63" spans="2:26" ht="32.1" customHeight="1" thickBot="1" x14ac:dyDescent="0.3">
      <c r="B63" s="3" t="s">
        <v>54</v>
      </c>
      <c r="C63" s="9" t="s">
        <v>114</v>
      </c>
      <c r="D63" s="9" t="s">
        <v>115</v>
      </c>
      <c r="E63" s="9" t="s">
        <v>116</v>
      </c>
      <c r="F63" s="9" t="s">
        <v>117</v>
      </c>
      <c r="G63" s="9" t="s">
        <v>118</v>
      </c>
      <c r="H63" s="9" t="s">
        <v>119</v>
      </c>
      <c r="I63" s="9" t="s">
        <v>120</v>
      </c>
      <c r="J63" s="9" t="s">
        <v>121</v>
      </c>
      <c r="K63" s="9" t="s">
        <v>122</v>
      </c>
      <c r="L63" s="9" t="s">
        <v>123</v>
      </c>
      <c r="M63" s="9" t="s">
        <v>124</v>
      </c>
      <c r="N63" s="9" t="s">
        <v>125</v>
      </c>
      <c r="O63" s="9" t="s">
        <v>126</v>
      </c>
      <c r="P63" s="9" t="s">
        <v>127</v>
      </c>
      <c r="Q63" s="9" t="s">
        <v>128</v>
      </c>
      <c r="R63" s="9" t="s">
        <v>129</v>
      </c>
      <c r="S63" s="9" t="s">
        <v>130</v>
      </c>
      <c r="T63" s="9" t="s">
        <v>131</v>
      </c>
      <c r="U63" s="9" t="s">
        <v>132</v>
      </c>
      <c r="V63" s="5" t="s">
        <v>133</v>
      </c>
      <c r="W63" s="5" t="s">
        <v>134</v>
      </c>
      <c r="X63" s="5" t="s">
        <v>135</v>
      </c>
      <c r="Y63" s="5" t="s">
        <v>136</v>
      </c>
      <c r="Z63" s="5" t="s">
        <v>137</v>
      </c>
    </row>
    <row r="64" spans="2:26" ht="16.5" thickTop="1" thickBot="1" x14ac:dyDescent="0.3">
      <c r="B64" s="10" t="s">
        <v>55</v>
      </c>
      <c r="C64" s="11"/>
      <c r="D64" s="11"/>
      <c r="E64" s="11"/>
      <c r="F64" s="11"/>
      <c r="G64" s="11"/>
      <c r="H64" s="11"/>
      <c r="I64" s="11"/>
      <c r="J64" s="11">
        <v>300</v>
      </c>
      <c r="K64" s="11">
        <v>354</v>
      </c>
      <c r="L64" s="11">
        <v>289</v>
      </c>
      <c r="M64" s="11">
        <v>271</v>
      </c>
      <c r="N64" s="11">
        <v>198</v>
      </c>
      <c r="O64" s="11">
        <v>142</v>
      </c>
      <c r="P64" s="11">
        <v>85</v>
      </c>
      <c r="Q64" s="11">
        <v>66</v>
      </c>
      <c r="R64" s="11">
        <v>76</v>
      </c>
      <c r="S64" s="11">
        <v>73</v>
      </c>
      <c r="T64" s="11">
        <v>65</v>
      </c>
      <c r="U64" s="11">
        <v>84</v>
      </c>
      <c r="V64" s="11">
        <v>101</v>
      </c>
      <c r="W64" s="11">
        <v>65</v>
      </c>
      <c r="X64" s="11">
        <v>54</v>
      </c>
      <c r="Y64" s="11">
        <v>135</v>
      </c>
      <c r="Z64" s="11">
        <v>73</v>
      </c>
    </row>
    <row r="65" spans="1:26" ht="15.75" thickBot="1" x14ac:dyDescent="0.3">
      <c r="B65" s="6" t="s">
        <v>56</v>
      </c>
      <c r="C65" s="7"/>
      <c r="D65" s="7"/>
      <c r="E65" s="7"/>
      <c r="F65" s="7"/>
      <c r="G65" s="7"/>
      <c r="H65" s="7"/>
      <c r="I65" s="7"/>
      <c r="J65" s="7">
        <v>212</v>
      </c>
      <c r="K65" s="7">
        <v>171</v>
      </c>
      <c r="L65" s="7">
        <v>185</v>
      </c>
      <c r="M65" s="7">
        <v>222</v>
      </c>
      <c r="N65" s="7">
        <v>132</v>
      </c>
      <c r="O65" s="7">
        <v>90</v>
      </c>
      <c r="P65" s="7">
        <v>36</v>
      </c>
      <c r="Q65" s="7">
        <v>21</v>
      </c>
      <c r="R65" s="7">
        <v>26</v>
      </c>
      <c r="S65" s="7">
        <v>38</v>
      </c>
      <c r="T65" s="7">
        <v>46</v>
      </c>
      <c r="U65" s="7">
        <v>40</v>
      </c>
      <c r="V65" s="7">
        <v>60</v>
      </c>
      <c r="W65" s="7">
        <v>39</v>
      </c>
      <c r="X65" s="7">
        <v>40</v>
      </c>
      <c r="Y65" s="7">
        <v>74</v>
      </c>
      <c r="Z65" s="7">
        <v>41</v>
      </c>
    </row>
    <row r="66" spans="1:26" ht="15.75" thickBot="1" x14ac:dyDescent="0.3">
      <c r="B66" s="6" t="s">
        <v>57</v>
      </c>
      <c r="C66" s="7"/>
      <c r="D66" s="7"/>
      <c r="E66" s="7"/>
      <c r="F66" s="7"/>
      <c r="G66" s="7"/>
      <c r="H66" s="7"/>
      <c r="I66" s="7"/>
      <c r="J66" s="7">
        <v>88</v>
      </c>
      <c r="K66" s="7">
        <v>183</v>
      </c>
      <c r="L66" s="7">
        <v>104</v>
      </c>
      <c r="M66" s="7">
        <v>49</v>
      </c>
      <c r="N66" s="7">
        <v>66</v>
      </c>
      <c r="O66" s="7">
        <v>52</v>
      </c>
      <c r="P66" s="7">
        <v>49</v>
      </c>
      <c r="Q66" s="7">
        <v>45</v>
      </c>
      <c r="R66" s="7">
        <v>50</v>
      </c>
      <c r="S66" s="7">
        <v>35</v>
      </c>
      <c r="T66" s="7">
        <v>19</v>
      </c>
      <c r="U66" s="7">
        <v>44</v>
      </c>
      <c r="V66" s="7">
        <v>41</v>
      </c>
      <c r="W66" s="7">
        <v>26</v>
      </c>
      <c r="X66" s="7">
        <v>14</v>
      </c>
      <c r="Y66" s="7">
        <v>61</v>
      </c>
      <c r="Z66" s="7">
        <v>32</v>
      </c>
    </row>
    <row r="67" spans="1:26" ht="15.75" thickBot="1" x14ac:dyDescent="0.3">
      <c r="B67" s="10" t="s">
        <v>58</v>
      </c>
      <c r="C67" s="11"/>
      <c r="D67" s="11"/>
      <c r="E67" s="11"/>
      <c r="F67" s="11"/>
      <c r="G67" s="11"/>
      <c r="H67" s="11"/>
      <c r="I67" s="11"/>
      <c r="J67" s="11">
        <v>1343</v>
      </c>
      <c r="K67" s="11">
        <v>1535</v>
      </c>
      <c r="L67" s="11">
        <v>1719</v>
      </c>
      <c r="M67" s="11">
        <v>1844</v>
      </c>
      <c r="N67" s="11">
        <v>1445</v>
      </c>
      <c r="O67" s="11">
        <v>1399</v>
      </c>
      <c r="P67" s="11">
        <v>923</v>
      </c>
      <c r="Q67" s="11">
        <v>732</v>
      </c>
      <c r="R67" s="11">
        <v>592</v>
      </c>
      <c r="S67" s="11">
        <v>570</v>
      </c>
      <c r="T67" s="11">
        <v>459</v>
      </c>
      <c r="U67" s="11">
        <v>837</v>
      </c>
      <c r="V67" s="11">
        <v>573</v>
      </c>
      <c r="W67" s="11">
        <v>292</v>
      </c>
      <c r="X67" s="11">
        <v>270</v>
      </c>
      <c r="Y67" s="11">
        <v>550</v>
      </c>
      <c r="Z67" s="11">
        <v>545</v>
      </c>
    </row>
    <row r="68" spans="1:26" ht="15.75" thickBot="1" x14ac:dyDescent="0.3">
      <c r="B68" s="6" t="s">
        <v>59</v>
      </c>
      <c r="C68" s="7"/>
      <c r="D68" s="7"/>
      <c r="E68" s="7"/>
      <c r="F68" s="7"/>
      <c r="G68" s="7"/>
      <c r="H68" s="7"/>
      <c r="I68" s="7"/>
      <c r="J68" s="7">
        <v>536</v>
      </c>
      <c r="K68" s="7">
        <v>676</v>
      </c>
      <c r="L68" s="7">
        <v>622</v>
      </c>
      <c r="M68" s="7">
        <v>650</v>
      </c>
      <c r="N68" s="7">
        <v>387</v>
      </c>
      <c r="O68" s="7">
        <v>312</v>
      </c>
      <c r="P68" s="7">
        <v>93</v>
      </c>
      <c r="Q68" s="7">
        <v>70</v>
      </c>
      <c r="R68" s="7">
        <v>105</v>
      </c>
      <c r="S68" s="7">
        <v>208</v>
      </c>
      <c r="T68" s="7">
        <v>155</v>
      </c>
      <c r="U68" s="7">
        <v>194</v>
      </c>
      <c r="V68" s="7">
        <v>287</v>
      </c>
      <c r="W68" s="7">
        <v>139</v>
      </c>
      <c r="X68" s="7">
        <v>146</v>
      </c>
      <c r="Y68" s="7">
        <v>363</v>
      </c>
      <c r="Z68" s="7">
        <v>371</v>
      </c>
    </row>
    <row r="69" spans="1:26" ht="15.75" thickBot="1" x14ac:dyDescent="0.3">
      <c r="B69" s="6" t="s">
        <v>60</v>
      </c>
      <c r="C69" s="7"/>
      <c r="D69" s="7"/>
      <c r="E69" s="7"/>
      <c r="F69" s="7"/>
      <c r="G69" s="7"/>
      <c r="H69" s="7"/>
      <c r="I69" s="7"/>
      <c r="J69" s="7">
        <v>807</v>
      </c>
      <c r="K69" s="7">
        <v>859</v>
      </c>
      <c r="L69" s="7">
        <v>1097</v>
      </c>
      <c r="M69" s="7">
        <v>1194</v>
      </c>
      <c r="N69" s="7">
        <v>1058</v>
      </c>
      <c r="O69" s="7">
        <v>1087</v>
      </c>
      <c r="P69" s="7">
        <v>830</v>
      </c>
      <c r="Q69" s="7">
        <v>662</v>
      </c>
      <c r="R69" s="7">
        <v>487</v>
      </c>
      <c r="S69" s="7">
        <v>362</v>
      </c>
      <c r="T69" s="7">
        <v>304</v>
      </c>
      <c r="U69" s="7">
        <v>643</v>
      </c>
      <c r="V69" s="7">
        <v>286</v>
      </c>
      <c r="W69" s="7">
        <v>153</v>
      </c>
      <c r="X69" s="7">
        <v>124</v>
      </c>
      <c r="Y69" s="7">
        <v>187</v>
      </c>
      <c r="Z69" s="7">
        <v>174</v>
      </c>
    </row>
    <row r="70" spans="1:26" ht="32.25" customHeight="1" thickBot="1" x14ac:dyDescent="0.3">
      <c r="B70" s="3" t="s">
        <v>61</v>
      </c>
      <c r="C70" s="9" t="s">
        <v>114</v>
      </c>
      <c r="D70" s="9" t="s">
        <v>115</v>
      </c>
      <c r="E70" s="9" t="s">
        <v>116</v>
      </c>
      <c r="F70" s="9" t="s">
        <v>117</v>
      </c>
      <c r="G70" s="9" t="s">
        <v>118</v>
      </c>
      <c r="H70" s="9" t="s">
        <v>119</v>
      </c>
      <c r="I70" s="9" t="s">
        <v>120</v>
      </c>
      <c r="J70" s="9" t="s">
        <v>121</v>
      </c>
      <c r="K70" s="9" t="s">
        <v>122</v>
      </c>
      <c r="L70" s="9" t="s">
        <v>123</v>
      </c>
      <c r="M70" s="9" t="s">
        <v>124</v>
      </c>
      <c r="N70" s="9" t="s">
        <v>125</v>
      </c>
      <c r="O70" s="9" t="s">
        <v>126</v>
      </c>
      <c r="P70" s="9" t="s">
        <v>127</v>
      </c>
      <c r="Q70" s="9" t="s">
        <v>128</v>
      </c>
      <c r="R70" s="9" t="s">
        <v>129</v>
      </c>
      <c r="S70" s="9" t="s">
        <v>130</v>
      </c>
      <c r="T70" s="9" t="s">
        <v>131</v>
      </c>
      <c r="U70" s="9" t="s">
        <v>132</v>
      </c>
      <c r="V70" s="5" t="s">
        <v>133</v>
      </c>
      <c r="W70" s="5" t="s">
        <v>134</v>
      </c>
      <c r="X70" s="5" t="s">
        <v>135</v>
      </c>
      <c r="Y70" s="5" t="s">
        <v>136</v>
      </c>
      <c r="Z70" s="5" t="s">
        <v>137</v>
      </c>
    </row>
    <row r="71" spans="1:26" ht="16.5" thickTop="1" thickBot="1" x14ac:dyDescent="0.3">
      <c r="B71" s="6" t="s">
        <v>62</v>
      </c>
      <c r="C71" s="7"/>
      <c r="D71" s="7"/>
      <c r="E71" s="7">
        <v>176</v>
      </c>
      <c r="F71" s="7">
        <v>190</v>
      </c>
      <c r="G71" s="7">
        <v>256</v>
      </c>
      <c r="H71" s="7">
        <v>209</v>
      </c>
      <c r="I71" s="7">
        <v>321</v>
      </c>
      <c r="J71" s="7">
        <v>235</v>
      </c>
      <c r="K71" s="7">
        <v>120</v>
      </c>
      <c r="L71" s="7">
        <v>77</v>
      </c>
      <c r="M71" s="7">
        <v>127</v>
      </c>
      <c r="N71" s="7">
        <v>79</v>
      </c>
      <c r="O71" s="7">
        <v>74</v>
      </c>
      <c r="P71" s="7">
        <v>146</v>
      </c>
      <c r="Q71" s="7">
        <v>176</v>
      </c>
      <c r="R71" s="7">
        <v>199</v>
      </c>
      <c r="S71" s="7">
        <v>192</v>
      </c>
      <c r="T71" s="7">
        <v>156</v>
      </c>
      <c r="U71" s="7">
        <v>100</v>
      </c>
      <c r="V71" s="7">
        <v>73</v>
      </c>
      <c r="W71" s="7">
        <v>44</v>
      </c>
      <c r="X71" s="7">
        <v>65</v>
      </c>
      <c r="Y71" s="7">
        <v>61</v>
      </c>
      <c r="Z71" s="7">
        <v>28</v>
      </c>
    </row>
    <row r="72" spans="1:26" ht="15.75" thickBot="1" x14ac:dyDescent="0.3">
      <c r="B72" s="6" t="s">
        <v>63</v>
      </c>
      <c r="C72" s="7"/>
      <c r="D72" s="7"/>
      <c r="E72" s="7">
        <v>247</v>
      </c>
      <c r="F72" s="7">
        <v>344</v>
      </c>
      <c r="G72" s="7">
        <v>289</v>
      </c>
      <c r="H72" s="7">
        <v>186</v>
      </c>
      <c r="I72" s="7">
        <v>193</v>
      </c>
      <c r="J72" s="7">
        <v>167</v>
      </c>
      <c r="K72" s="7">
        <v>227</v>
      </c>
      <c r="L72" s="7">
        <v>118</v>
      </c>
      <c r="M72" s="7">
        <v>212</v>
      </c>
      <c r="N72" s="7">
        <v>181</v>
      </c>
      <c r="O72" s="7">
        <v>191</v>
      </c>
      <c r="P72" s="7">
        <v>146</v>
      </c>
      <c r="Q72" s="7">
        <v>152</v>
      </c>
      <c r="R72" s="7">
        <v>109</v>
      </c>
      <c r="S72" s="7">
        <v>111</v>
      </c>
      <c r="T72" s="7">
        <v>71</v>
      </c>
      <c r="U72" s="7">
        <v>132</v>
      </c>
      <c r="V72" s="7">
        <v>134</v>
      </c>
      <c r="W72" s="7">
        <v>175</v>
      </c>
      <c r="X72" s="7">
        <v>209</v>
      </c>
      <c r="Y72" s="7">
        <v>264</v>
      </c>
      <c r="Z72" s="7">
        <v>212</v>
      </c>
    </row>
    <row r="73" spans="1:26" ht="15.75" thickBot="1" x14ac:dyDescent="0.3">
      <c r="B73" s="10" t="s">
        <v>64</v>
      </c>
      <c r="C73" s="11"/>
      <c r="D73" s="11"/>
      <c r="E73" s="11"/>
      <c r="F73" s="11"/>
      <c r="G73" s="11"/>
      <c r="H73" s="11"/>
      <c r="I73" s="11"/>
      <c r="J73" s="11"/>
      <c r="K73" s="11"/>
      <c r="L73" s="11"/>
      <c r="M73" s="11"/>
      <c r="N73" s="11"/>
      <c r="O73" s="11"/>
      <c r="P73" s="11"/>
      <c r="Q73" s="11"/>
      <c r="R73" s="11"/>
      <c r="S73" s="11"/>
      <c r="T73" s="11"/>
      <c r="U73" s="11">
        <v>226</v>
      </c>
      <c r="V73" s="11">
        <v>272</v>
      </c>
      <c r="W73" s="11">
        <v>327</v>
      </c>
      <c r="X73" s="11">
        <v>400</v>
      </c>
      <c r="Y73" s="11">
        <v>249</v>
      </c>
      <c r="Z73" s="11">
        <v>239</v>
      </c>
    </row>
    <row r="74" spans="1:26" ht="15.75" thickBot="1" x14ac:dyDescent="0.3">
      <c r="A74" t="s">
        <v>65</v>
      </c>
      <c r="B74" s="6" t="s">
        <v>66</v>
      </c>
      <c r="C74" s="7"/>
      <c r="D74" s="7"/>
      <c r="E74" s="7"/>
      <c r="F74" s="7"/>
      <c r="G74" s="7"/>
      <c r="H74" s="7"/>
      <c r="I74" s="7"/>
      <c r="J74" s="7"/>
      <c r="K74" s="7"/>
      <c r="L74" s="7"/>
      <c r="M74" s="7"/>
      <c r="N74" s="7"/>
      <c r="O74" s="7"/>
      <c r="P74" s="7"/>
      <c r="Q74" s="7"/>
      <c r="R74" s="7"/>
      <c r="S74" s="7"/>
      <c r="T74" s="7"/>
      <c r="U74" s="7">
        <v>0</v>
      </c>
      <c r="V74" s="7">
        <v>0</v>
      </c>
      <c r="W74" s="7">
        <v>0</v>
      </c>
      <c r="X74" s="7">
        <v>0</v>
      </c>
      <c r="Y74" s="7">
        <v>0</v>
      </c>
      <c r="Z74" s="7">
        <v>0</v>
      </c>
    </row>
    <row r="75" spans="1:26" ht="15.75" thickBot="1" x14ac:dyDescent="0.3">
      <c r="B75" s="6" t="s">
        <v>67</v>
      </c>
      <c r="C75" s="7"/>
      <c r="D75" s="7"/>
      <c r="E75" s="7"/>
      <c r="F75" s="7"/>
      <c r="G75" s="7"/>
      <c r="H75" s="7"/>
      <c r="I75" s="7"/>
      <c r="J75" s="7"/>
      <c r="K75" s="7"/>
      <c r="L75" s="7"/>
      <c r="M75" s="7"/>
      <c r="N75" s="7"/>
      <c r="O75" s="7"/>
      <c r="P75" s="7"/>
      <c r="Q75" s="7"/>
      <c r="R75" s="7"/>
      <c r="S75" s="7"/>
      <c r="T75" s="7"/>
      <c r="U75" s="7">
        <v>72</v>
      </c>
      <c r="V75" s="7">
        <v>97</v>
      </c>
      <c r="W75" s="7">
        <v>100</v>
      </c>
      <c r="X75" s="7">
        <v>132</v>
      </c>
      <c r="Y75" s="7">
        <v>116</v>
      </c>
      <c r="Z75" s="7">
        <v>88</v>
      </c>
    </row>
    <row r="76" spans="1:26" ht="15.75" thickBot="1" x14ac:dyDescent="0.3">
      <c r="B76" s="6" t="s">
        <v>68</v>
      </c>
      <c r="C76" s="7"/>
      <c r="D76" s="7"/>
      <c r="E76" s="7"/>
      <c r="F76" s="7"/>
      <c r="G76" s="7"/>
      <c r="H76" s="7"/>
      <c r="I76" s="7"/>
      <c r="J76" s="7"/>
      <c r="K76" s="7"/>
      <c r="L76" s="7"/>
      <c r="M76" s="7"/>
      <c r="N76" s="7"/>
      <c r="O76" s="7"/>
      <c r="P76" s="7"/>
      <c r="Q76" s="7"/>
      <c r="R76" s="7"/>
      <c r="S76" s="7"/>
      <c r="T76" s="7"/>
      <c r="U76" s="7">
        <v>151</v>
      </c>
      <c r="V76" s="7">
        <v>175</v>
      </c>
      <c r="W76" s="7">
        <v>227</v>
      </c>
      <c r="X76" s="7">
        <v>268</v>
      </c>
      <c r="Y76" s="7">
        <v>133</v>
      </c>
      <c r="Z76" s="7">
        <v>151</v>
      </c>
    </row>
    <row r="77" spans="1:26" ht="15.75" thickBot="1" x14ac:dyDescent="0.3">
      <c r="B77" s="6" t="s">
        <v>69</v>
      </c>
      <c r="C77" s="7"/>
      <c r="D77" s="7"/>
      <c r="E77" s="7"/>
      <c r="F77" s="7"/>
      <c r="G77" s="7"/>
      <c r="H77" s="7"/>
      <c r="I77" s="7"/>
      <c r="J77" s="7"/>
      <c r="K77" s="7"/>
      <c r="L77" s="7"/>
      <c r="M77" s="7"/>
      <c r="N77" s="7"/>
      <c r="O77" s="7"/>
      <c r="P77" s="7"/>
      <c r="Q77" s="7"/>
      <c r="R77" s="7"/>
      <c r="S77" s="7"/>
      <c r="T77" s="7"/>
      <c r="U77" s="7">
        <v>3</v>
      </c>
      <c r="V77" s="7">
        <v>0</v>
      </c>
      <c r="W77" s="7">
        <v>0</v>
      </c>
      <c r="X77" s="7">
        <v>0</v>
      </c>
      <c r="Y77" s="7">
        <v>0</v>
      </c>
      <c r="Z77" s="7">
        <v>0</v>
      </c>
    </row>
    <row r="78" spans="1:26" ht="18" thickBot="1" x14ac:dyDescent="0.35">
      <c r="B78" s="2" t="s">
        <v>70</v>
      </c>
      <c r="C78" s="17"/>
      <c r="D78" s="18"/>
      <c r="E78" s="18"/>
      <c r="F78" s="18"/>
      <c r="G78" s="18"/>
      <c r="H78" s="18"/>
      <c r="I78" s="18"/>
      <c r="J78" s="18"/>
      <c r="K78" s="18"/>
      <c r="L78" s="18"/>
      <c r="M78" s="18"/>
      <c r="N78" s="18"/>
      <c r="O78" s="18"/>
      <c r="P78" s="18"/>
      <c r="Q78" s="18"/>
      <c r="R78" s="18"/>
      <c r="S78" s="18"/>
      <c r="T78" s="18"/>
    </row>
    <row r="79" spans="1:26" ht="32.1" customHeight="1" thickBot="1" x14ac:dyDescent="0.3">
      <c r="B79" s="3" t="s">
        <v>71</v>
      </c>
      <c r="C79" s="9" t="s">
        <v>114</v>
      </c>
      <c r="D79" s="9" t="s">
        <v>115</v>
      </c>
      <c r="E79" s="9" t="s">
        <v>116</v>
      </c>
      <c r="F79" s="9" t="s">
        <v>117</v>
      </c>
      <c r="G79" s="9" t="s">
        <v>118</v>
      </c>
      <c r="H79" s="9" t="s">
        <v>119</v>
      </c>
      <c r="I79" s="9" t="s">
        <v>120</v>
      </c>
      <c r="J79" s="9" t="s">
        <v>121</v>
      </c>
      <c r="K79" s="9" t="s">
        <v>122</v>
      </c>
      <c r="L79" s="9" t="s">
        <v>123</v>
      </c>
      <c r="M79" s="9" t="s">
        <v>124</v>
      </c>
      <c r="N79" s="9" t="s">
        <v>125</v>
      </c>
      <c r="O79" s="9" t="s">
        <v>126</v>
      </c>
      <c r="P79" s="9" t="s">
        <v>127</v>
      </c>
      <c r="Q79" s="9" t="s">
        <v>128</v>
      </c>
      <c r="R79" s="9" t="s">
        <v>129</v>
      </c>
      <c r="S79" s="9" t="s">
        <v>130</v>
      </c>
      <c r="T79" s="9" t="s">
        <v>131</v>
      </c>
      <c r="U79" s="9" t="s">
        <v>132</v>
      </c>
      <c r="V79" s="5" t="s">
        <v>133</v>
      </c>
      <c r="W79" s="5" t="s">
        <v>134</v>
      </c>
      <c r="X79" s="5" t="s">
        <v>135</v>
      </c>
      <c r="Y79" s="5" t="s">
        <v>136</v>
      </c>
      <c r="Z79" s="5" t="s">
        <v>137</v>
      </c>
    </row>
    <row r="80" spans="1:26" ht="16.5" thickTop="1" thickBot="1" x14ac:dyDescent="0.3">
      <c r="B80" s="6" t="s">
        <v>72</v>
      </c>
      <c r="C80" s="7"/>
      <c r="D80" s="7"/>
      <c r="E80" s="7"/>
      <c r="F80" s="7"/>
      <c r="G80" s="7"/>
      <c r="H80" s="7"/>
      <c r="I80" s="7"/>
      <c r="J80" s="7">
        <v>354</v>
      </c>
      <c r="K80" s="7">
        <v>444</v>
      </c>
      <c r="L80" s="7">
        <v>444</v>
      </c>
      <c r="M80" s="7">
        <v>495</v>
      </c>
      <c r="N80" s="7">
        <v>401</v>
      </c>
      <c r="O80" s="7">
        <v>207</v>
      </c>
      <c r="P80" s="7">
        <v>181</v>
      </c>
      <c r="Q80" s="7">
        <v>147</v>
      </c>
      <c r="R80" s="7">
        <v>127</v>
      </c>
      <c r="S80" s="7">
        <v>161</v>
      </c>
      <c r="T80" s="7">
        <v>169</v>
      </c>
      <c r="U80" s="7">
        <v>264</v>
      </c>
      <c r="V80" s="7">
        <v>270</v>
      </c>
      <c r="W80" s="7">
        <v>271</v>
      </c>
      <c r="X80" s="7">
        <v>274</v>
      </c>
      <c r="Y80" s="7">
        <v>157</v>
      </c>
      <c r="Z80" s="7">
        <v>169</v>
      </c>
    </row>
    <row r="81" spans="2:26" ht="15.75" thickBot="1" x14ac:dyDescent="0.3">
      <c r="B81" s="6" t="s">
        <v>73</v>
      </c>
      <c r="C81" s="7"/>
      <c r="D81" s="7"/>
      <c r="E81" s="7"/>
      <c r="F81" s="7"/>
      <c r="G81" s="7"/>
      <c r="H81" s="7"/>
      <c r="I81" s="7"/>
      <c r="J81" s="7">
        <v>163</v>
      </c>
      <c r="K81" s="7">
        <v>140</v>
      </c>
      <c r="L81" s="7">
        <v>108</v>
      </c>
      <c r="M81" s="7">
        <v>168</v>
      </c>
      <c r="N81" s="7">
        <v>246</v>
      </c>
      <c r="O81" s="7">
        <v>133</v>
      </c>
      <c r="P81" s="7">
        <v>38</v>
      </c>
      <c r="Q81" s="7">
        <v>102</v>
      </c>
      <c r="R81" s="7">
        <v>57</v>
      </c>
      <c r="S81" s="7">
        <v>38</v>
      </c>
      <c r="T81" s="7">
        <v>23</v>
      </c>
      <c r="U81" s="7">
        <v>15</v>
      </c>
      <c r="V81" s="7">
        <v>27</v>
      </c>
      <c r="W81" s="7">
        <v>84</v>
      </c>
      <c r="X81" s="7">
        <v>248</v>
      </c>
      <c r="Y81" s="7">
        <v>169</v>
      </c>
      <c r="Z81" s="7">
        <v>87</v>
      </c>
    </row>
    <row r="82" spans="2:26" ht="15.75" thickBot="1" x14ac:dyDescent="0.3">
      <c r="B82" s="6" t="s">
        <v>74</v>
      </c>
      <c r="C82" s="7"/>
      <c r="D82" s="7"/>
      <c r="E82" s="7"/>
      <c r="F82" s="7"/>
      <c r="G82" s="7"/>
      <c r="H82" s="7"/>
      <c r="I82" s="7"/>
      <c r="J82" s="7">
        <v>105898.5280200002</v>
      </c>
      <c r="K82" s="7">
        <v>93398.735180000003</v>
      </c>
      <c r="L82" s="7">
        <v>122857.01607999997</v>
      </c>
      <c r="M82" s="7">
        <v>117879.55257999976</v>
      </c>
      <c r="N82" s="7">
        <v>113276.15829000015</v>
      </c>
      <c r="O82" s="7">
        <v>180017.80364000009</v>
      </c>
      <c r="P82" s="7">
        <v>253025.46340000039</v>
      </c>
      <c r="Q82" s="7">
        <v>282474.2379799987</v>
      </c>
      <c r="R82" s="7">
        <v>295646.00113000005</v>
      </c>
      <c r="S82" s="7">
        <v>292340.52552000055</v>
      </c>
      <c r="T82" s="7">
        <v>319066.89228000049</v>
      </c>
      <c r="U82" s="7">
        <v>451194.16866999865</v>
      </c>
      <c r="V82" s="7">
        <v>486828.7452000003</v>
      </c>
      <c r="W82" s="7">
        <v>476820.11390999961</v>
      </c>
      <c r="X82" s="7">
        <v>605118.25127999939</v>
      </c>
      <c r="Y82" s="7">
        <v>693795.67696999374</v>
      </c>
      <c r="Z82" s="7">
        <v>684281.12360999582</v>
      </c>
    </row>
    <row r="83" spans="2:26" ht="15.75" thickBot="1" x14ac:dyDescent="0.3">
      <c r="B83" s="6" t="s">
        <v>75</v>
      </c>
      <c r="C83" s="7"/>
      <c r="D83" s="7"/>
      <c r="E83" s="7"/>
      <c r="F83" s="7"/>
      <c r="G83" s="7"/>
      <c r="H83" s="7"/>
      <c r="I83" s="7"/>
      <c r="J83" s="7">
        <v>223.1852999999999</v>
      </c>
      <c r="K83" s="7">
        <v>521.11144999999908</v>
      </c>
      <c r="L83" s="7">
        <v>346.08809999999846</v>
      </c>
      <c r="M83" s="7">
        <v>284.62200999999976</v>
      </c>
      <c r="N83" s="7">
        <v>203.11434999999994</v>
      </c>
      <c r="O83" s="7">
        <v>276.73765000000009</v>
      </c>
      <c r="P83" s="7">
        <v>439.10917999999924</v>
      </c>
      <c r="Q83" s="7">
        <v>248.24313999999987</v>
      </c>
      <c r="R83" s="7">
        <v>257.95824000000005</v>
      </c>
      <c r="S83" s="7">
        <v>258.58784738999987</v>
      </c>
      <c r="T83" s="7">
        <v>244.00242</v>
      </c>
      <c r="U83" s="7">
        <v>238.01019000000011</v>
      </c>
      <c r="V83" s="7">
        <v>313.91119999999961</v>
      </c>
      <c r="W83" s="19">
        <v>481.01414999999963</v>
      </c>
      <c r="X83" s="19">
        <v>236.08398999999997</v>
      </c>
      <c r="Y83" s="19">
        <v>391.71093999999954</v>
      </c>
      <c r="Z83" s="19">
        <v>105.59448</v>
      </c>
    </row>
    <row r="84" spans="2:26" ht="15.75" thickBot="1" x14ac:dyDescent="0.3">
      <c r="B84" s="6" t="s">
        <v>76</v>
      </c>
      <c r="C84" s="7"/>
      <c r="D84" s="7"/>
      <c r="E84" s="7"/>
      <c r="F84" s="7"/>
      <c r="G84" s="7"/>
      <c r="H84" s="7"/>
      <c r="I84" s="7"/>
      <c r="J84" s="7">
        <v>650519.97</v>
      </c>
      <c r="K84" s="7">
        <v>882075.93449999997</v>
      </c>
      <c r="L84" s="7">
        <v>275613.65850000002</v>
      </c>
      <c r="M84" s="7">
        <v>332642.53800000006</v>
      </c>
      <c r="N84" s="7">
        <v>346690.67800000007</v>
      </c>
      <c r="O84" s="7">
        <v>472986.26500000001</v>
      </c>
      <c r="P84" s="7">
        <v>739459.12100000004</v>
      </c>
      <c r="Q84" s="7">
        <v>427696.58200000011</v>
      </c>
      <c r="R84" s="7">
        <v>291200.81400000001</v>
      </c>
      <c r="S84" s="7">
        <v>361660.16900000005</v>
      </c>
      <c r="T84" s="7">
        <v>418917.38199999998</v>
      </c>
      <c r="U84" s="7">
        <v>598804.5920000003</v>
      </c>
      <c r="V84" s="7">
        <v>371438.7649999999</v>
      </c>
      <c r="W84" s="19">
        <v>607066.36700000009</v>
      </c>
      <c r="X84" s="19">
        <v>689494.8629999999</v>
      </c>
      <c r="Y84" s="19">
        <v>473179.24799999996</v>
      </c>
      <c r="Z84" s="20">
        <v>402840.43300000008</v>
      </c>
    </row>
    <row r="85" spans="2:26" ht="15.75" thickBot="1" x14ac:dyDescent="0.3">
      <c r="B85" s="6" t="s">
        <v>77</v>
      </c>
      <c r="C85" s="7"/>
      <c r="D85" s="7"/>
      <c r="E85" s="7"/>
      <c r="F85" s="7"/>
      <c r="G85" s="7"/>
      <c r="H85" s="7"/>
      <c r="I85" s="7"/>
      <c r="J85" s="7">
        <v>89712.363569999987</v>
      </c>
      <c r="K85" s="7">
        <v>43773.342619999974</v>
      </c>
      <c r="L85" s="7">
        <v>31744.21989</v>
      </c>
      <c r="M85" s="7">
        <v>33822.502899999999</v>
      </c>
      <c r="N85" s="7">
        <v>29043.279139999955</v>
      </c>
      <c r="O85" s="7">
        <v>26168.214539999964</v>
      </c>
      <c r="P85" s="7">
        <v>35313.711669999931</v>
      </c>
      <c r="Q85" s="7">
        <v>37006.520489999944</v>
      </c>
      <c r="R85" s="7">
        <v>27091.388409999985</v>
      </c>
      <c r="S85" s="7">
        <v>46081.802259999997</v>
      </c>
      <c r="T85" s="7">
        <v>50413.747339999871</v>
      </c>
      <c r="U85" s="7">
        <v>66075.778609999703</v>
      </c>
      <c r="V85" s="7">
        <v>80705.879570000048</v>
      </c>
      <c r="W85" s="19">
        <v>51120.933979999973</v>
      </c>
      <c r="X85" s="19">
        <v>59296.465619999857</v>
      </c>
      <c r="Y85" s="19">
        <v>58116.519339999846</v>
      </c>
      <c r="Z85" s="7">
        <v>32725.904559999915</v>
      </c>
    </row>
    <row r="86" spans="2:26" ht="15.75" thickBot="1" x14ac:dyDescent="0.3">
      <c r="B86" s="6" t="s">
        <v>78</v>
      </c>
      <c r="C86" s="7"/>
      <c r="D86" s="7"/>
      <c r="E86" s="7"/>
      <c r="F86" s="7"/>
      <c r="G86" s="7"/>
      <c r="H86" s="7"/>
      <c r="I86" s="7"/>
      <c r="J86" s="7">
        <v>2917.1571399999893</v>
      </c>
      <c r="K86" s="7">
        <v>1755.1130500000074</v>
      </c>
      <c r="L86" s="7">
        <v>1877.3063800000261</v>
      </c>
      <c r="M86" s="7">
        <v>2015.8021800000161</v>
      </c>
      <c r="N86" s="7">
        <v>1838.0615300000075</v>
      </c>
      <c r="O86" s="7">
        <v>1696.2721499999977</v>
      </c>
      <c r="P86" s="7">
        <v>1671.6167600000028</v>
      </c>
      <c r="Q86" s="7">
        <v>1818.101389999998</v>
      </c>
      <c r="R86" s="7">
        <v>1320.4209300000089</v>
      </c>
      <c r="S86" s="7">
        <v>1148.7190599999999</v>
      </c>
      <c r="T86" s="7">
        <v>801.42854000000284</v>
      </c>
      <c r="U86" s="7">
        <v>1030.2134400000041</v>
      </c>
      <c r="V86" s="7">
        <v>959.67117000000144</v>
      </c>
      <c r="W86" s="19">
        <v>813.44087999999999</v>
      </c>
      <c r="X86" s="19">
        <v>708.23457000000042</v>
      </c>
      <c r="Y86" s="19">
        <v>853.62460000000169</v>
      </c>
      <c r="Z86" s="19">
        <v>992.77196999999921</v>
      </c>
    </row>
    <row r="87" spans="2:26" ht="15.75" thickBot="1" x14ac:dyDescent="0.3">
      <c r="B87" s="6" t="s">
        <v>79</v>
      </c>
      <c r="C87" s="7"/>
      <c r="D87" s="7"/>
      <c r="E87" s="7"/>
      <c r="F87" s="7"/>
      <c r="G87" s="7"/>
      <c r="H87" s="7"/>
      <c r="I87" s="7"/>
      <c r="J87" s="7">
        <v>194458.36011000085</v>
      </c>
      <c r="K87" s="7">
        <v>219663.9281500002</v>
      </c>
      <c r="L87" s="7">
        <v>257805.58005000089</v>
      </c>
      <c r="M87" s="7">
        <v>272018.50550000131</v>
      </c>
      <c r="N87" s="7">
        <v>220247.25647000255</v>
      </c>
      <c r="O87" s="7">
        <v>182301.03307000085</v>
      </c>
      <c r="P87" s="7">
        <v>118005.83858</v>
      </c>
      <c r="Q87" s="7">
        <v>156237.1103000009</v>
      </c>
      <c r="R87" s="7">
        <v>159969.60033000031</v>
      </c>
      <c r="S87" s="7">
        <v>260568.73622000046</v>
      </c>
      <c r="T87" s="7">
        <v>353059.23763000162</v>
      </c>
      <c r="U87" s="7">
        <v>392695.70467999816</v>
      </c>
      <c r="V87" s="7">
        <v>263934.11951000179</v>
      </c>
      <c r="W87" s="19">
        <v>280040.22703999921</v>
      </c>
      <c r="X87" s="19">
        <v>349685.45304999809</v>
      </c>
      <c r="Y87" s="19">
        <v>289313.36360000074</v>
      </c>
      <c r="Z87" s="20">
        <v>345022.55912000255</v>
      </c>
    </row>
    <row r="88" spans="2:26" ht="15" customHeight="1" thickBot="1" x14ac:dyDescent="0.3">
      <c r="B88" s="6" t="s">
        <v>80</v>
      </c>
      <c r="C88" s="7"/>
      <c r="D88" s="7"/>
      <c r="E88" s="7">
        <v>113492.76</v>
      </c>
      <c r="F88" s="7">
        <v>125020.58999999994</v>
      </c>
      <c r="G88" s="7">
        <v>109111.88000000009</v>
      </c>
      <c r="H88" s="7">
        <v>103865.45000000007</v>
      </c>
      <c r="I88" s="7">
        <v>73084.419999999911</v>
      </c>
      <c r="J88" s="7">
        <v>70762.059999999983</v>
      </c>
      <c r="K88" s="7">
        <v>77016.590000000084</v>
      </c>
      <c r="L88" s="7">
        <v>68055.850000000006</v>
      </c>
      <c r="M88" s="7">
        <v>38982.869999999974</v>
      </c>
      <c r="N88" s="7">
        <v>30935.029999999981</v>
      </c>
      <c r="O88" s="7">
        <v>33844.740000000005</v>
      </c>
      <c r="P88" s="7">
        <v>0</v>
      </c>
      <c r="Q88" s="7">
        <v>0</v>
      </c>
      <c r="R88" s="7">
        <v>0</v>
      </c>
      <c r="S88" s="7">
        <v>0</v>
      </c>
      <c r="T88" s="7">
        <v>0</v>
      </c>
      <c r="U88" s="7">
        <v>0</v>
      </c>
      <c r="V88" s="7">
        <v>0</v>
      </c>
      <c r="W88" s="7">
        <v>0</v>
      </c>
      <c r="X88" s="7">
        <v>0</v>
      </c>
      <c r="Y88" s="7">
        <v>0</v>
      </c>
      <c r="Z88" s="7">
        <v>0</v>
      </c>
    </row>
    <row r="89" spans="2:26" ht="15.75" thickBot="1" x14ac:dyDescent="0.3">
      <c r="B89" s="6" t="s">
        <v>81</v>
      </c>
      <c r="C89" s="7"/>
      <c r="D89" s="7"/>
      <c r="E89" s="7"/>
      <c r="F89" s="7"/>
      <c r="G89" s="7"/>
      <c r="H89" s="7"/>
      <c r="I89" s="7"/>
      <c r="J89" s="7">
        <v>26739.277470000106</v>
      </c>
      <c r="K89" s="7">
        <v>18562.652546666704</v>
      </c>
      <c r="L89" s="7">
        <v>18058.798100000044</v>
      </c>
      <c r="M89" s="7">
        <v>9858.6077999999688</v>
      </c>
      <c r="N89" s="7">
        <v>6276.7587999999823</v>
      </c>
      <c r="O89" s="7">
        <v>7650.0459999999766</v>
      </c>
      <c r="P89" s="7">
        <v>12335.437099999994</v>
      </c>
      <c r="Q89" s="7">
        <v>27503.98532500006</v>
      </c>
      <c r="R89" s="7">
        <v>33482.983600000043</v>
      </c>
      <c r="S89" s="7">
        <v>53347.889799999146</v>
      </c>
      <c r="T89" s="7">
        <v>69788.732600000701</v>
      </c>
      <c r="U89" s="7">
        <v>46710.34970000013</v>
      </c>
      <c r="V89" s="7">
        <v>50979.445300000429</v>
      </c>
      <c r="W89" s="19">
        <v>10695.659999999996</v>
      </c>
      <c r="X89" s="19">
        <v>2970.2800000000075</v>
      </c>
      <c r="Y89" s="19">
        <v>5092.2399999999889</v>
      </c>
      <c r="Z89" s="20">
        <v>7051.7930000000033</v>
      </c>
    </row>
    <row r="90" spans="2:26" ht="15.75" thickBot="1" x14ac:dyDescent="0.3">
      <c r="B90" s="6" t="s">
        <v>82</v>
      </c>
      <c r="C90" s="7"/>
      <c r="D90" s="7"/>
      <c r="E90" s="7"/>
      <c r="F90" s="7"/>
      <c r="G90" s="7"/>
      <c r="H90" s="7"/>
      <c r="I90" s="7"/>
      <c r="J90" s="7">
        <v>1920</v>
      </c>
      <c r="K90" s="7">
        <v>1613</v>
      </c>
      <c r="L90" s="7">
        <v>1306</v>
      </c>
      <c r="M90" s="7">
        <v>1763</v>
      </c>
      <c r="N90" s="7">
        <v>1439</v>
      </c>
      <c r="O90" s="7">
        <v>2411</v>
      </c>
      <c r="P90" s="7">
        <v>3673</v>
      </c>
      <c r="Q90" s="7">
        <v>2754</v>
      </c>
      <c r="R90" s="7">
        <v>2709</v>
      </c>
      <c r="S90" s="7">
        <v>3975</v>
      </c>
      <c r="T90" s="7">
        <v>3653</v>
      </c>
      <c r="U90" s="7">
        <v>4286</v>
      </c>
      <c r="V90" s="7">
        <v>2823</v>
      </c>
      <c r="W90" s="7">
        <v>3325</v>
      </c>
      <c r="X90" s="7">
        <v>3566</v>
      </c>
      <c r="Y90" s="7">
        <v>4012</v>
      </c>
      <c r="Z90" s="7">
        <v>4012</v>
      </c>
    </row>
    <row r="91" spans="2:26" ht="15.75" thickBot="1" x14ac:dyDescent="0.3">
      <c r="B91" s="6" t="s">
        <v>83</v>
      </c>
      <c r="C91" s="7"/>
      <c r="D91" s="7"/>
      <c r="E91" s="7"/>
      <c r="F91" s="7"/>
      <c r="G91" s="7"/>
      <c r="H91" s="7"/>
      <c r="I91" s="7"/>
      <c r="J91" s="7">
        <v>20</v>
      </c>
      <c r="K91" s="7">
        <v>14</v>
      </c>
      <c r="L91" s="7">
        <v>12</v>
      </c>
      <c r="M91" s="7">
        <v>16</v>
      </c>
      <c r="N91" s="7">
        <v>2</v>
      </c>
      <c r="O91" s="7">
        <v>6</v>
      </c>
      <c r="P91" s="7">
        <v>5</v>
      </c>
      <c r="Q91" s="7">
        <v>2</v>
      </c>
      <c r="R91" s="7">
        <v>2</v>
      </c>
      <c r="S91" s="7">
        <v>3</v>
      </c>
      <c r="T91" s="7">
        <v>1</v>
      </c>
      <c r="U91" s="7">
        <v>3</v>
      </c>
      <c r="V91" s="7">
        <v>5</v>
      </c>
      <c r="W91" s="7">
        <v>1</v>
      </c>
      <c r="X91" s="7">
        <v>1</v>
      </c>
      <c r="Y91" s="7">
        <v>1</v>
      </c>
      <c r="Z91" s="7">
        <v>0</v>
      </c>
    </row>
    <row r="92" spans="2:26" ht="15.75" thickBot="1" x14ac:dyDescent="0.3">
      <c r="B92" s="6" t="s">
        <v>84</v>
      </c>
      <c r="C92" s="7"/>
      <c r="D92" s="7"/>
      <c r="E92" s="7"/>
      <c r="F92" s="7"/>
      <c r="G92" s="7"/>
      <c r="H92" s="7"/>
      <c r="I92" s="7"/>
      <c r="J92" s="7">
        <v>1859284.024</v>
      </c>
      <c r="K92" s="7">
        <v>1870031.1989999998</v>
      </c>
      <c r="L92" s="7">
        <v>2390296.4030000004</v>
      </c>
      <c r="M92" s="7">
        <v>2611112.3329999982</v>
      </c>
      <c r="N92" s="7">
        <v>2345802.3459999999</v>
      </c>
      <c r="O92" s="7">
        <v>4443998.9319999991</v>
      </c>
      <c r="P92" s="7">
        <v>2740963.804</v>
      </c>
      <c r="Q92" s="7">
        <v>2640679.9700000002</v>
      </c>
      <c r="R92" s="7">
        <v>3105084.8859999999</v>
      </c>
      <c r="S92" s="7">
        <v>3771468.74</v>
      </c>
      <c r="T92" s="7">
        <v>3041816.2990000006</v>
      </c>
      <c r="U92" s="7">
        <v>2269437.1459999997</v>
      </c>
      <c r="V92" s="7">
        <v>1849231.1329999999</v>
      </c>
      <c r="W92" s="7">
        <v>2633517.588</v>
      </c>
      <c r="X92" s="7">
        <v>2659170</v>
      </c>
      <c r="Y92" s="7">
        <v>1744921.16</v>
      </c>
      <c r="Z92" s="7">
        <v>1901917.2690000006</v>
      </c>
    </row>
    <row r="93" spans="2:26" ht="15.75" thickBot="1" x14ac:dyDescent="0.3">
      <c r="B93" s="6" t="s">
        <v>85</v>
      </c>
      <c r="C93" s="7"/>
      <c r="D93" s="7"/>
      <c r="E93" s="7"/>
      <c r="F93" s="7"/>
      <c r="G93" s="7"/>
      <c r="H93" s="7"/>
      <c r="I93" s="7"/>
      <c r="J93" s="7">
        <v>5339133.5359999994</v>
      </c>
      <c r="K93" s="7">
        <v>6135977.3300000001</v>
      </c>
      <c r="L93" s="7">
        <v>4967672.5509999981</v>
      </c>
      <c r="M93" s="7">
        <v>8253077.79</v>
      </c>
      <c r="N93" s="7">
        <v>8392697.2599999979</v>
      </c>
      <c r="O93" s="7">
        <v>5431491.3490000004</v>
      </c>
      <c r="P93" s="7">
        <v>8345143.7740000002</v>
      </c>
      <c r="Q93" s="7">
        <v>9475048.6659999974</v>
      </c>
      <c r="R93" s="7">
        <v>12474869.314999999</v>
      </c>
      <c r="S93" s="7">
        <v>14535602.476</v>
      </c>
      <c r="T93" s="7">
        <v>8221503.9939999981</v>
      </c>
      <c r="U93" s="7">
        <v>4123331.9439999997</v>
      </c>
      <c r="V93" s="7">
        <v>1276145.3499999999</v>
      </c>
      <c r="W93" s="7">
        <v>2545797</v>
      </c>
      <c r="X93" s="7">
        <v>2462218</v>
      </c>
      <c r="Y93" s="7">
        <v>1435860.1219999997</v>
      </c>
      <c r="Z93" s="7">
        <v>1033759.4970000002</v>
      </c>
    </row>
    <row r="94" spans="2:26" ht="32.1" customHeight="1" thickBot="1" x14ac:dyDescent="0.3">
      <c r="B94" s="3" t="s">
        <v>86</v>
      </c>
      <c r="C94" s="9" t="s">
        <v>114</v>
      </c>
      <c r="D94" s="9" t="s">
        <v>115</v>
      </c>
      <c r="E94" s="9" t="s">
        <v>116</v>
      </c>
      <c r="F94" s="9" t="s">
        <v>117</v>
      </c>
      <c r="G94" s="9" t="s">
        <v>118</v>
      </c>
      <c r="H94" s="9" t="s">
        <v>119</v>
      </c>
      <c r="I94" s="9" t="s">
        <v>120</v>
      </c>
      <c r="J94" s="9" t="s">
        <v>121</v>
      </c>
      <c r="K94" s="9" t="s">
        <v>122</v>
      </c>
      <c r="L94" s="9" t="s">
        <v>123</v>
      </c>
      <c r="M94" s="9" t="s">
        <v>124</v>
      </c>
      <c r="N94" s="9" t="s">
        <v>125</v>
      </c>
      <c r="O94" s="9" t="s">
        <v>126</v>
      </c>
      <c r="P94" s="9" t="s">
        <v>127</v>
      </c>
      <c r="Q94" s="9" t="s">
        <v>128</v>
      </c>
      <c r="R94" s="9" t="s">
        <v>129</v>
      </c>
      <c r="S94" s="9" t="s">
        <v>130</v>
      </c>
      <c r="T94" s="9" t="s">
        <v>131</v>
      </c>
      <c r="U94" s="9" t="s">
        <v>132</v>
      </c>
      <c r="V94" s="5" t="s">
        <v>133</v>
      </c>
      <c r="W94" s="5" t="s">
        <v>134</v>
      </c>
      <c r="X94" s="5" t="s">
        <v>135</v>
      </c>
      <c r="Y94" s="5" t="s">
        <v>136</v>
      </c>
      <c r="Z94" s="5" t="s">
        <v>137</v>
      </c>
    </row>
    <row r="95" spans="2:26" ht="16.5" thickTop="1" thickBot="1" x14ac:dyDescent="0.3">
      <c r="B95" s="6" t="s">
        <v>87</v>
      </c>
      <c r="C95" s="7"/>
      <c r="D95" s="7"/>
      <c r="E95" s="7"/>
      <c r="F95" s="7"/>
      <c r="G95" s="7"/>
      <c r="H95" s="7"/>
      <c r="I95" s="7"/>
      <c r="J95" s="7">
        <v>52</v>
      </c>
      <c r="K95" s="7">
        <v>1006</v>
      </c>
      <c r="L95" s="7">
        <v>1457</v>
      </c>
      <c r="M95" s="7">
        <v>1160</v>
      </c>
      <c r="N95" s="7">
        <v>1131</v>
      </c>
      <c r="O95" s="7">
        <v>1876</v>
      </c>
      <c r="P95" s="7">
        <v>1916</v>
      </c>
      <c r="Q95" s="7">
        <v>1699</v>
      </c>
      <c r="R95" s="7">
        <v>1160</v>
      </c>
      <c r="S95" s="7">
        <v>1374</v>
      </c>
      <c r="T95" s="7">
        <v>1254</v>
      </c>
      <c r="U95" s="7">
        <v>1299</v>
      </c>
      <c r="V95" s="7">
        <v>832</v>
      </c>
      <c r="W95" s="7">
        <v>869</v>
      </c>
      <c r="X95" s="7">
        <v>930</v>
      </c>
      <c r="Y95" s="7">
        <v>1059</v>
      </c>
      <c r="Z95" s="7">
        <v>1063</v>
      </c>
    </row>
    <row r="96" spans="2:26" ht="15.75" thickBot="1" x14ac:dyDescent="0.3">
      <c r="B96" s="6" t="s">
        <v>88</v>
      </c>
      <c r="C96" s="7"/>
      <c r="D96" s="7"/>
      <c r="E96" s="7"/>
      <c r="F96" s="7"/>
      <c r="G96" s="7"/>
      <c r="H96" s="7"/>
      <c r="I96" s="7"/>
      <c r="J96" s="7">
        <v>54</v>
      </c>
      <c r="K96" s="7">
        <v>558</v>
      </c>
      <c r="L96" s="7">
        <v>829</v>
      </c>
      <c r="M96" s="7">
        <v>931</v>
      </c>
      <c r="N96" s="7">
        <v>547</v>
      </c>
      <c r="O96" s="7">
        <v>1638</v>
      </c>
      <c r="P96" s="7">
        <v>1642</v>
      </c>
      <c r="Q96" s="7">
        <v>1473</v>
      </c>
      <c r="R96" s="7">
        <v>1649</v>
      </c>
      <c r="S96" s="7">
        <v>2396</v>
      </c>
      <c r="T96" s="7">
        <v>3436</v>
      </c>
      <c r="U96" s="7">
        <v>2569</v>
      </c>
      <c r="V96" s="7">
        <v>1651</v>
      </c>
      <c r="W96" s="7">
        <v>2362</v>
      </c>
      <c r="X96" s="7">
        <v>3611</v>
      </c>
      <c r="Y96" s="7">
        <v>4325</v>
      </c>
      <c r="Z96" s="7">
        <v>5263</v>
      </c>
    </row>
    <row r="97" spans="2:27" ht="32.1" customHeight="1" thickBot="1" x14ac:dyDescent="0.3">
      <c r="B97" s="3" t="s">
        <v>89</v>
      </c>
      <c r="C97" s="9" t="s">
        <v>114</v>
      </c>
      <c r="D97" s="9" t="s">
        <v>115</v>
      </c>
      <c r="E97" s="9" t="s">
        <v>116</v>
      </c>
      <c r="F97" s="9" t="s">
        <v>117</v>
      </c>
      <c r="G97" s="9" t="s">
        <v>118</v>
      </c>
      <c r="H97" s="9" t="s">
        <v>119</v>
      </c>
      <c r="I97" s="9" t="s">
        <v>120</v>
      </c>
      <c r="J97" s="9" t="s">
        <v>121</v>
      </c>
      <c r="K97" s="9" t="s">
        <v>122</v>
      </c>
      <c r="L97" s="9" t="s">
        <v>123</v>
      </c>
      <c r="M97" s="9" t="s">
        <v>124</v>
      </c>
      <c r="N97" s="9" t="s">
        <v>125</v>
      </c>
      <c r="O97" s="9" t="s">
        <v>126</v>
      </c>
      <c r="P97" s="9" t="s">
        <v>127</v>
      </c>
      <c r="Q97" s="9" t="s">
        <v>128</v>
      </c>
      <c r="R97" s="9" t="s">
        <v>129</v>
      </c>
      <c r="S97" s="9" t="s">
        <v>130</v>
      </c>
      <c r="T97" s="9" t="s">
        <v>131</v>
      </c>
      <c r="U97" s="9" t="s">
        <v>132</v>
      </c>
      <c r="V97" s="5" t="s">
        <v>133</v>
      </c>
      <c r="W97" s="5" t="s">
        <v>134</v>
      </c>
      <c r="X97" s="5" t="s">
        <v>135</v>
      </c>
      <c r="Y97" s="5" t="s">
        <v>136</v>
      </c>
      <c r="Z97" s="5" t="s">
        <v>137</v>
      </c>
    </row>
    <row r="98" spans="2:27" ht="16.5" thickTop="1" thickBot="1" x14ac:dyDescent="0.3">
      <c r="B98" s="6" t="s">
        <v>90</v>
      </c>
      <c r="C98" s="7"/>
      <c r="D98" s="7"/>
      <c r="E98" s="7"/>
      <c r="F98" s="7"/>
      <c r="G98" s="7"/>
      <c r="H98" s="7"/>
      <c r="I98" s="7"/>
      <c r="J98" s="7">
        <v>5</v>
      </c>
      <c r="K98" s="7">
        <v>119</v>
      </c>
      <c r="L98" s="7">
        <v>459</v>
      </c>
      <c r="M98" s="7">
        <v>222</v>
      </c>
      <c r="N98" s="7">
        <v>345</v>
      </c>
      <c r="O98" s="7">
        <v>226</v>
      </c>
      <c r="P98" s="7">
        <v>319</v>
      </c>
      <c r="Q98" s="7">
        <v>242</v>
      </c>
      <c r="R98" s="7">
        <v>188</v>
      </c>
      <c r="S98" s="7">
        <v>270</v>
      </c>
      <c r="T98" s="7">
        <v>203</v>
      </c>
      <c r="U98" s="7">
        <v>262</v>
      </c>
      <c r="V98" s="7">
        <v>237</v>
      </c>
      <c r="W98" s="7">
        <v>311</v>
      </c>
      <c r="X98" s="7">
        <v>416</v>
      </c>
      <c r="Y98" s="7">
        <v>519</v>
      </c>
      <c r="Z98" s="7">
        <v>792</v>
      </c>
    </row>
    <row r="99" spans="2:27" ht="15.75" thickBot="1" x14ac:dyDescent="0.3">
      <c r="B99" s="6" t="s">
        <v>91</v>
      </c>
      <c r="C99" s="7"/>
      <c r="D99" s="7"/>
      <c r="E99" s="7"/>
      <c r="F99" s="7"/>
      <c r="G99" s="7"/>
      <c r="H99" s="7"/>
      <c r="I99" s="7"/>
      <c r="J99" s="7">
        <v>0</v>
      </c>
      <c r="K99" s="7">
        <v>63</v>
      </c>
      <c r="L99" s="7">
        <v>167</v>
      </c>
      <c r="M99" s="7">
        <v>57</v>
      </c>
      <c r="N99" s="7">
        <v>92</v>
      </c>
      <c r="O99" s="7">
        <v>167</v>
      </c>
      <c r="P99" s="7">
        <v>289</v>
      </c>
      <c r="Q99" s="7">
        <v>339</v>
      </c>
      <c r="R99" s="7">
        <v>229</v>
      </c>
      <c r="S99" s="7">
        <v>422</v>
      </c>
      <c r="T99" s="7">
        <v>650</v>
      </c>
      <c r="U99" s="7">
        <v>397</v>
      </c>
      <c r="V99" s="7">
        <v>594</v>
      </c>
      <c r="W99" s="7">
        <v>525</v>
      </c>
      <c r="X99" s="7">
        <v>544</v>
      </c>
      <c r="Y99" s="7">
        <v>689</v>
      </c>
      <c r="Z99" s="7">
        <v>1494</v>
      </c>
    </row>
    <row r="100" spans="2:27" ht="31.5" customHeight="1" thickBot="1" x14ac:dyDescent="0.3">
      <c r="B100" s="3" t="s">
        <v>92</v>
      </c>
      <c r="C100" s="9" t="s">
        <v>114</v>
      </c>
      <c r="D100" s="9" t="s">
        <v>115</v>
      </c>
      <c r="E100" s="9" t="s">
        <v>116</v>
      </c>
      <c r="F100" s="9" t="s">
        <v>117</v>
      </c>
      <c r="G100" s="9" t="s">
        <v>118</v>
      </c>
      <c r="H100" s="9" t="s">
        <v>119</v>
      </c>
      <c r="I100" s="9" t="s">
        <v>120</v>
      </c>
      <c r="J100" s="9" t="s">
        <v>121</v>
      </c>
      <c r="K100" s="9" t="s">
        <v>122</v>
      </c>
      <c r="L100" s="9" t="s">
        <v>123</v>
      </c>
      <c r="M100" s="9" t="s">
        <v>124</v>
      </c>
      <c r="N100" s="9" t="s">
        <v>125</v>
      </c>
      <c r="O100" s="9" t="s">
        <v>126</v>
      </c>
      <c r="P100" s="9" t="s">
        <v>127</v>
      </c>
      <c r="Q100" s="9" t="s">
        <v>128</v>
      </c>
      <c r="R100" s="9" t="s">
        <v>129</v>
      </c>
      <c r="S100" s="9" t="s">
        <v>130</v>
      </c>
      <c r="T100" s="9" t="s">
        <v>131</v>
      </c>
      <c r="U100" s="9" t="s">
        <v>132</v>
      </c>
      <c r="V100" s="5" t="s">
        <v>133</v>
      </c>
      <c r="W100" s="5" t="s">
        <v>134</v>
      </c>
      <c r="X100" s="5" t="s">
        <v>135</v>
      </c>
      <c r="Y100" s="5" t="s">
        <v>136</v>
      </c>
      <c r="Z100" s="5" t="s">
        <v>137</v>
      </c>
    </row>
    <row r="101" spans="2:27" ht="16.5" thickTop="1" thickBot="1" x14ac:dyDescent="0.3">
      <c r="B101" s="6" t="s">
        <v>93</v>
      </c>
      <c r="C101" s="7"/>
      <c r="D101" s="7"/>
      <c r="E101" s="7"/>
      <c r="F101" s="7"/>
      <c r="G101" s="7"/>
      <c r="H101" s="7"/>
      <c r="I101" s="7"/>
      <c r="J101" s="7">
        <v>1082.3</v>
      </c>
      <c r="K101" s="7">
        <v>0</v>
      </c>
      <c r="L101" s="7">
        <v>1532.25</v>
      </c>
      <c r="M101" s="7">
        <v>27.42</v>
      </c>
      <c r="N101" s="7">
        <v>310.25</v>
      </c>
      <c r="O101" s="7">
        <v>17253.660000000003</v>
      </c>
      <c r="P101" s="7">
        <v>5531.35</v>
      </c>
      <c r="Q101" s="7">
        <v>5335.1090000000013</v>
      </c>
      <c r="R101" s="7">
        <v>551.09</v>
      </c>
      <c r="S101" s="7">
        <v>1168.1510000000003</v>
      </c>
      <c r="T101" s="7">
        <v>690.30200000000002</v>
      </c>
      <c r="U101" s="7">
        <v>441.65599999999995</v>
      </c>
      <c r="V101" s="7">
        <v>190.21299999999997</v>
      </c>
      <c r="W101" s="7">
        <v>185.55599999999987</v>
      </c>
      <c r="X101" s="7">
        <v>66.669999999999987</v>
      </c>
      <c r="Y101" s="7">
        <v>136.37000000000006</v>
      </c>
      <c r="Z101" s="7">
        <v>69.11</v>
      </c>
    </row>
    <row r="102" spans="2:27" ht="15.75" thickBot="1" x14ac:dyDescent="0.3">
      <c r="B102" s="6" t="s">
        <v>94</v>
      </c>
      <c r="C102" s="7"/>
      <c r="D102" s="7"/>
      <c r="E102" s="7"/>
      <c r="F102" s="7"/>
      <c r="G102" s="7"/>
      <c r="H102" s="7"/>
      <c r="I102" s="7"/>
      <c r="J102" s="7">
        <v>16110.970000000001</v>
      </c>
      <c r="K102" s="7">
        <v>66.55</v>
      </c>
      <c r="L102" s="7">
        <v>133.78</v>
      </c>
      <c r="M102" s="7">
        <v>899.98</v>
      </c>
      <c r="N102" s="7">
        <v>185.46</v>
      </c>
      <c r="O102" s="7">
        <v>158.29717999999994</v>
      </c>
      <c r="P102" s="7">
        <v>44.0505</v>
      </c>
      <c r="Q102" s="7">
        <v>20.728010000000001</v>
      </c>
      <c r="R102" s="7">
        <v>102.73180000000001</v>
      </c>
      <c r="S102" s="7">
        <v>521.09569999999997</v>
      </c>
      <c r="T102" s="7">
        <v>78.994740000000007</v>
      </c>
      <c r="U102" s="7">
        <v>69.803210000000007</v>
      </c>
      <c r="V102" s="7">
        <v>46.020999999999987</v>
      </c>
      <c r="W102" s="7">
        <v>65.317279999999997</v>
      </c>
      <c r="X102" s="7">
        <v>24.888560000000002</v>
      </c>
      <c r="Y102" s="7">
        <v>31.110980000000016</v>
      </c>
      <c r="Z102" s="7">
        <v>16.949510000000004</v>
      </c>
    </row>
    <row r="103" spans="2:27" s="14" customFormat="1" ht="9.9499999999999993" customHeight="1" x14ac:dyDescent="0.2"/>
    <row r="104" spans="2:27" s="14" customFormat="1" ht="12.75" x14ac:dyDescent="0.2">
      <c r="B104" s="44" t="s">
        <v>95</v>
      </c>
      <c r="C104" s="44"/>
      <c r="D104" s="44"/>
      <c r="E104" s="44"/>
      <c r="F104" s="44"/>
      <c r="G104" s="44"/>
      <c r="H104" s="44"/>
      <c r="I104" s="44"/>
      <c r="J104" s="44"/>
      <c r="K104" s="44"/>
      <c r="L104" s="44"/>
      <c r="M104" s="44"/>
      <c r="N104" s="44"/>
      <c r="O104" s="44"/>
      <c r="P104" s="44"/>
      <c r="Q104" s="44"/>
      <c r="R104" s="44"/>
      <c r="S104" s="44"/>
      <c r="T104" s="44"/>
      <c r="U104" s="44"/>
      <c r="V104" s="44"/>
      <c r="W104" s="44"/>
    </row>
    <row r="105" spans="2:27" x14ac:dyDescent="0.25">
      <c r="B105" s="45" t="s">
        <v>43</v>
      </c>
      <c r="C105" s="45"/>
      <c r="D105" s="45"/>
      <c r="E105" s="45"/>
      <c r="F105" s="45"/>
      <c r="G105" s="45"/>
      <c r="H105" s="45"/>
      <c r="I105" s="45"/>
      <c r="J105" s="45"/>
      <c r="K105" s="45"/>
      <c r="L105" s="45"/>
      <c r="M105" s="45"/>
      <c r="N105" s="45"/>
      <c r="O105" s="45"/>
      <c r="P105" s="45"/>
      <c r="Q105" s="45"/>
      <c r="R105" s="45"/>
      <c r="S105" s="45"/>
      <c r="T105" s="45"/>
      <c r="U105" s="45"/>
      <c r="V105" s="45"/>
      <c r="W105" s="45"/>
    </row>
    <row r="106" spans="2:27" x14ac:dyDescent="0.25">
      <c r="B106" s="40"/>
      <c r="C106" s="40"/>
      <c r="D106" s="40"/>
      <c r="E106" s="40"/>
      <c r="F106" s="40"/>
      <c r="G106" s="40"/>
      <c r="H106" s="40"/>
      <c r="I106" s="40"/>
      <c r="J106" s="21"/>
      <c r="K106" s="21"/>
      <c r="L106" s="21"/>
      <c r="M106" s="21"/>
      <c r="N106" s="21"/>
      <c r="O106" s="21"/>
      <c r="P106" s="21"/>
      <c r="Q106" s="21"/>
      <c r="R106" s="21"/>
      <c r="S106" s="22"/>
      <c r="T106" s="22"/>
    </row>
    <row r="107" spans="2:27" ht="26.25" customHeight="1" x14ac:dyDescent="0.25">
      <c r="B107" s="23"/>
      <c r="C107" s="13"/>
      <c r="D107" s="24"/>
      <c r="E107" s="24"/>
      <c r="F107" s="24"/>
      <c r="G107" s="24"/>
      <c r="H107" s="24"/>
      <c r="I107" s="24"/>
      <c r="J107" s="21"/>
      <c r="K107" s="21"/>
      <c r="L107" s="21"/>
      <c r="M107" s="21"/>
      <c r="N107" s="21"/>
      <c r="O107" s="21"/>
      <c r="P107" s="21"/>
      <c r="Q107" s="21"/>
      <c r="R107" s="21"/>
      <c r="S107" s="22"/>
      <c r="T107" s="22"/>
    </row>
    <row r="108" spans="2:27" x14ac:dyDescent="0.25">
      <c r="B108" s="22"/>
      <c r="C108" s="22">
        <v>2003</v>
      </c>
      <c r="D108" s="22">
        <v>2004</v>
      </c>
      <c r="E108" s="22">
        <v>2005</v>
      </c>
      <c r="F108" s="22">
        <v>2006</v>
      </c>
      <c r="G108" s="22">
        <v>2007</v>
      </c>
      <c r="H108" s="22">
        <v>2008</v>
      </c>
      <c r="I108" s="22">
        <v>2009</v>
      </c>
      <c r="J108" s="22">
        <v>2010</v>
      </c>
      <c r="K108" s="22">
        <v>2011</v>
      </c>
      <c r="L108" s="22">
        <v>2012</v>
      </c>
      <c r="M108" s="22">
        <v>2013</v>
      </c>
      <c r="N108" s="22">
        <v>2014</v>
      </c>
      <c r="O108" s="22">
        <v>2015</v>
      </c>
      <c r="P108" s="22">
        <v>2016</v>
      </c>
      <c r="Q108" s="22">
        <v>2017</v>
      </c>
      <c r="R108" s="22">
        <v>2018</v>
      </c>
      <c r="S108" s="22">
        <v>2019</v>
      </c>
      <c r="T108" s="22">
        <v>2020</v>
      </c>
      <c r="U108" s="22">
        <v>2021</v>
      </c>
      <c r="V108" s="22">
        <v>2022</v>
      </c>
      <c r="W108" s="22">
        <v>2023</v>
      </c>
      <c r="X108" s="22">
        <v>2024</v>
      </c>
      <c r="Y108" s="22">
        <v>2025</v>
      </c>
      <c r="Z108" s="22">
        <v>2026</v>
      </c>
      <c r="AA108" s="22"/>
    </row>
    <row r="109" spans="2:27" x14ac:dyDescent="0.25">
      <c r="B109" s="22"/>
      <c r="C109" s="22">
        <v>2003</v>
      </c>
      <c r="D109" s="22">
        <v>2004</v>
      </c>
      <c r="E109" s="22">
        <v>2005</v>
      </c>
      <c r="F109" s="22">
        <v>2006</v>
      </c>
      <c r="G109" s="22">
        <v>2007</v>
      </c>
      <c r="H109" s="22">
        <v>2008</v>
      </c>
      <c r="I109" s="22">
        <v>2009</v>
      </c>
      <c r="J109" s="22">
        <v>2010</v>
      </c>
      <c r="K109" s="22">
        <v>2011</v>
      </c>
      <c r="L109" s="22">
        <v>2012</v>
      </c>
      <c r="M109" s="22">
        <v>2013</v>
      </c>
      <c r="N109" s="22">
        <v>2014</v>
      </c>
      <c r="O109" s="22">
        <v>2015</v>
      </c>
      <c r="P109" s="22">
        <v>2016</v>
      </c>
      <c r="Q109" s="22">
        <v>2017</v>
      </c>
      <c r="R109" s="22">
        <v>2018</v>
      </c>
      <c r="S109" s="22">
        <v>2019</v>
      </c>
      <c r="T109" s="22">
        <v>2020</v>
      </c>
      <c r="U109" s="22">
        <v>2021</v>
      </c>
      <c r="V109" s="22">
        <v>2022</v>
      </c>
      <c r="W109" s="22">
        <v>2023</v>
      </c>
      <c r="X109" s="22">
        <v>2024</v>
      </c>
      <c r="Y109" s="22">
        <v>2025</v>
      </c>
      <c r="Z109" s="22">
        <v>2026</v>
      </c>
      <c r="AA109" s="22"/>
    </row>
    <row r="110" spans="2:27" x14ac:dyDescent="0.25">
      <c r="V110"/>
      <c r="W110"/>
      <c r="X110"/>
      <c r="Y110"/>
      <c r="Z110"/>
    </row>
  </sheetData>
  <protectedRanges>
    <protectedRange sqref="B78:X84 A103:Y103 A104 X104:Y104 B85:Y102 Y57:Y84 B57:X69 B6:Y56 AA103:XFD104 Z6:Z104 C70:X77" name="Rango1_25"/>
    <protectedRange sqref="B70 B73:B77" name="Rango1_21_1_1"/>
  </protectedRanges>
  <mergeCells count="13">
    <mergeCell ref="B1:U1"/>
    <mergeCell ref="B2:U2"/>
    <mergeCell ref="B3:U3"/>
    <mergeCell ref="B4:U4"/>
    <mergeCell ref="B44:E45"/>
    <mergeCell ref="G44:W48"/>
    <mergeCell ref="B106:I106"/>
    <mergeCell ref="B49:T49"/>
    <mergeCell ref="B50:T50"/>
    <mergeCell ref="B51:T51"/>
    <mergeCell ref="B52:T52"/>
    <mergeCell ref="B104:W104"/>
    <mergeCell ref="B105:W105"/>
  </mergeCells>
  <printOptions horizontalCentered="1" verticalCentered="1"/>
  <pageMargins left="0" right="0" top="0" bottom="0" header="0" footer="0"/>
  <pageSetup scale="35" fitToHeight="2" orientation="landscape" r:id="rId1"/>
  <rowBreaks count="1" manualBreakCount="1">
    <brk id="48" max="27"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FEC3C-3603-4E14-BE5B-72AAC302B4F2}">
  <dimension ref="B1:Z103"/>
  <sheetViews>
    <sheetView showGridLines="0" zoomScale="70" zoomScaleNormal="70" zoomScaleSheetLayoutView="85" workbookViewId="0"/>
  </sheetViews>
  <sheetFormatPr baseColWidth="10" defaultRowHeight="15" x14ac:dyDescent="0.25"/>
  <cols>
    <col min="1" max="1" width="0.7109375" customWidth="1"/>
    <col min="2" max="2" width="67.28515625" customWidth="1"/>
    <col min="3" max="4" width="11.42578125" customWidth="1"/>
    <col min="17" max="18" width="11" customWidth="1"/>
    <col min="19" max="19" width="12" customWidth="1"/>
    <col min="20" max="20" width="11.28515625" customWidth="1"/>
    <col min="21" max="21" width="11" customWidth="1"/>
    <col min="22" max="22" width="12" customWidth="1"/>
    <col min="23" max="23" width="11.85546875" style="1" customWidth="1"/>
    <col min="24" max="24" width="13.7109375" style="1" customWidth="1"/>
    <col min="25" max="26" width="13.5703125" style="1" customWidth="1"/>
  </cols>
  <sheetData>
    <row r="1" spans="2:26" ht="17.45" customHeight="1" x14ac:dyDescent="0.3">
      <c r="B1" s="41" t="s">
        <v>0</v>
      </c>
      <c r="C1" s="41"/>
      <c r="D1" s="41"/>
      <c r="E1" s="41"/>
      <c r="F1" s="41"/>
      <c r="G1" s="41"/>
      <c r="H1" s="41"/>
      <c r="I1" s="41"/>
      <c r="J1" s="41"/>
      <c r="K1" s="41"/>
      <c r="L1" s="41"/>
      <c r="M1" s="41"/>
      <c r="N1" s="41"/>
      <c r="O1" s="41"/>
      <c r="P1" s="41"/>
      <c r="Q1" s="41"/>
      <c r="R1" s="41"/>
      <c r="S1" s="41"/>
      <c r="T1" s="41"/>
      <c r="U1" s="41"/>
      <c r="V1" s="1"/>
    </row>
    <row r="2" spans="2:26" ht="17.25" x14ac:dyDescent="0.3">
      <c r="B2" s="41" t="s">
        <v>1</v>
      </c>
      <c r="C2" s="41"/>
      <c r="D2" s="41"/>
      <c r="E2" s="41"/>
      <c r="F2" s="41"/>
      <c r="G2" s="41"/>
      <c r="H2" s="41"/>
      <c r="I2" s="41"/>
      <c r="J2" s="41"/>
      <c r="K2" s="41"/>
      <c r="L2" s="41"/>
      <c r="M2" s="41"/>
      <c r="N2" s="41"/>
      <c r="O2" s="41"/>
      <c r="P2" s="41"/>
      <c r="Q2" s="41"/>
      <c r="R2" s="41"/>
      <c r="S2" s="41"/>
      <c r="T2" s="41"/>
      <c r="U2" s="41"/>
      <c r="V2" s="1"/>
    </row>
    <row r="3" spans="2:26" ht="17.25" x14ac:dyDescent="0.3">
      <c r="B3" s="42" t="s">
        <v>2</v>
      </c>
      <c r="C3" s="42"/>
      <c r="D3" s="42"/>
      <c r="E3" s="42"/>
      <c r="F3" s="42"/>
      <c r="G3" s="42"/>
      <c r="H3" s="42"/>
      <c r="I3" s="42"/>
      <c r="J3" s="42"/>
      <c r="K3" s="42"/>
      <c r="L3" s="42"/>
      <c r="M3" s="42"/>
      <c r="N3" s="42"/>
      <c r="O3" s="42"/>
      <c r="P3" s="42"/>
      <c r="Q3" s="42"/>
      <c r="R3" s="42"/>
      <c r="S3" s="42"/>
      <c r="T3" s="42"/>
      <c r="U3" s="42"/>
      <c r="V3" s="1"/>
    </row>
    <row r="4" spans="2:26" ht="17.25" x14ac:dyDescent="0.3">
      <c r="B4" s="42" t="s">
        <v>96</v>
      </c>
      <c r="C4" s="42"/>
      <c r="D4" s="42"/>
      <c r="E4" s="42"/>
      <c r="F4" s="42"/>
      <c r="G4" s="42"/>
      <c r="H4" s="42"/>
      <c r="I4" s="42"/>
      <c r="J4" s="42"/>
      <c r="K4" s="42"/>
      <c r="L4" s="42"/>
      <c r="M4" s="42"/>
      <c r="N4" s="42"/>
      <c r="O4" s="42"/>
      <c r="P4" s="42"/>
      <c r="Q4" s="42"/>
      <c r="R4" s="42"/>
      <c r="S4" s="42"/>
      <c r="T4" s="42"/>
      <c r="U4" s="42"/>
      <c r="V4" s="1"/>
    </row>
    <row r="5" spans="2:26" ht="18" thickBot="1" x14ac:dyDescent="0.35">
      <c r="B5" s="2" t="s">
        <v>4</v>
      </c>
      <c r="C5" s="25"/>
      <c r="D5" s="13"/>
      <c r="E5" s="13"/>
      <c r="F5" s="13"/>
      <c r="G5" s="13"/>
      <c r="H5" s="13"/>
      <c r="I5" s="13"/>
      <c r="J5" s="13"/>
      <c r="K5" s="13"/>
      <c r="L5" s="13"/>
      <c r="M5" s="13"/>
      <c r="N5" s="13"/>
      <c r="O5" s="13"/>
      <c r="P5" s="13"/>
      <c r="Q5" s="13"/>
      <c r="R5" s="13"/>
      <c r="S5" s="13"/>
      <c r="T5" s="13"/>
      <c r="U5" s="13"/>
      <c r="V5" s="13"/>
    </row>
    <row r="6" spans="2:26" ht="32.1" customHeight="1" thickBot="1" x14ac:dyDescent="0.3">
      <c r="B6" s="3" t="s">
        <v>5</v>
      </c>
      <c r="C6" s="9" t="s">
        <v>114</v>
      </c>
      <c r="D6" s="9" t="s">
        <v>115</v>
      </c>
      <c r="E6" s="9" t="s">
        <v>116</v>
      </c>
      <c r="F6" s="9" t="s">
        <v>117</v>
      </c>
      <c r="G6" s="9" t="s">
        <v>118</v>
      </c>
      <c r="H6" s="9" t="s">
        <v>119</v>
      </c>
      <c r="I6" s="9" t="s">
        <v>120</v>
      </c>
      <c r="J6" s="9" t="s">
        <v>121</v>
      </c>
      <c r="K6" s="9" t="s">
        <v>122</v>
      </c>
      <c r="L6" s="9" t="s">
        <v>123</v>
      </c>
      <c r="M6" s="9" t="s">
        <v>124</v>
      </c>
      <c r="N6" s="9" t="s">
        <v>125</v>
      </c>
      <c r="O6" s="9" t="s">
        <v>126</v>
      </c>
      <c r="P6" s="9" t="s">
        <v>127</v>
      </c>
      <c r="Q6" s="9" t="s">
        <v>128</v>
      </c>
      <c r="R6" s="9" t="s">
        <v>129</v>
      </c>
      <c r="S6" s="9" t="s">
        <v>130</v>
      </c>
      <c r="T6" s="9" t="s">
        <v>131</v>
      </c>
      <c r="U6" s="9" t="s">
        <v>132</v>
      </c>
      <c r="V6" s="5" t="s">
        <v>133</v>
      </c>
      <c r="W6" s="5" t="s">
        <v>134</v>
      </c>
      <c r="X6" s="5" t="s">
        <v>135</v>
      </c>
      <c r="Y6" s="5" t="s">
        <v>136</v>
      </c>
      <c r="Z6" s="5" t="s">
        <v>137</v>
      </c>
    </row>
    <row r="7" spans="2:26" ht="16.5" thickTop="1" thickBot="1" x14ac:dyDescent="0.3">
      <c r="B7" s="6" t="s">
        <v>6</v>
      </c>
      <c r="C7" s="20">
        <v>38.4314314112113</v>
      </c>
      <c r="D7" s="20">
        <v>32.242327898016548</v>
      </c>
      <c r="E7" s="20">
        <v>27.121407871274723</v>
      </c>
      <c r="F7" s="20">
        <v>24.581382564519728</v>
      </c>
      <c r="G7" s="20">
        <v>24.243629014808963</v>
      </c>
      <c r="H7" s="20">
        <v>22.777846079116628</v>
      </c>
      <c r="I7" s="20">
        <v>23.227053911118052</v>
      </c>
      <c r="J7" s="20">
        <v>22.294911987608302</v>
      </c>
      <c r="K7" s="20">
        <v>23.466214128227563</v>
      </c>
      <c r="L7" s="20">
        <v>22.583656023919698</v>
      </c>
      <c r="M7" s="20">
        <v>22.167960509336623</v>
      </c>
      <c r="N7" s="20">
        <v>18.403606505122202</v>
      </c>
      <c r="O7" s="20">
        <v>17.595150380129958</v>
      </c>
      <c r="P7" s="20">
        <v>17.04031653477006</v>
      </c>
      <c r="Q7" s="20">
        <v>16.404747444073287</v>
      </c>
      <c r="R7" s="20">
        <v>17.329591760571727</v>
      </c>
      <c r="S7" s="20">
        <v>16.743620201676084</v>
      </c>
      <c r="T7" s="20">
        <v>14.899548111867267</v>
      </c>
      <c r="U7" s="20">
        <v>17.900588815903831</v>
      </c>
      <c r="V7" s="20">
        <v>17.264493649886486</v>
      </c>
      <c r="W7" s="19">
        <v>17.094208313756411</v>
      </c>
      <c r="X7" s="19">
        <v>16.640135897547548</v>
      </c>
      <c r="Y7" s="19">
        <v>17.445319215039042</v>
      </c>
      <c r="Z7" s="19">
        <v>17.666940934345217</v>
      </c>
    </row>
    <row r="8" spans="2:26" ht="15.75" thickBot="1" x14ac:dyDescent="0.3">
      <c r="B8" s="6" t="s">
        <v>7</v>
      </c>
      <c r="C8" s="20">
        <v>6.7111860850449556</v>
      </c>
      <c r="D8" s="20">
        <v>6.7810859803584496</v>
      </c>
      <c r="E8" s="20">
        <v>6.1960250507548524</v>
      </c>
      <c r="F8" s="20">
        <v>6.0066218440988299</v>
      </c>
      <c r="G8" s="20">
        <v>6.4019871242934903</v>
      </c>
      <c r="H8" s="20">
        <v>5.948901072673106</v>
      </c>
      <c r="I8" s="20">
        <v>7.3081864759337778</v>
      </c>
      <c r="J8" s="20">
        <v>6.8411287572109716</v>
      </c>
      <c r="K8" s="20">
        <v>6.4506838263535169</v>
      </c>
      <c r="L8" s="20">
        <v>6.6819889465636653</v>
      </c>
      <c r="M8" s="20">
        <v>7.2499267193958339</v>
      </c>
      <c r="N8" s="20">
        <v>6.6672466168301971</v>
      </c>
      <c r="O8" s="20">
        <v>7.3973475521321905</v>
      </c>
      <c r="P8" s="20">
        <v>7.9158462900241373</v>
      </c>
      <c r="Q8" s="20">
        <v>7.4463508452272498</v>
      </c>
      <c r="R8" s="20">
        <v>8.1436441012850498</v>
      </c>
      <c r="S8" s="20">
        <v>7.8592917227409131</v>
      </c>
      <c r="T8" s="20">
        <v>5.8105856248731165</v>
      </c>
      <c r="U8" s="20">
        <v>8.8955166498267442</v>
      </c>
      <c r="V8" s="20">
        <v>9.457131783988963</v>
      </c>
      <c r="W8" s="20">
        <v>9.2253848437019688</v>
      </c>
      <c r="X8" s="20">
        <v>8.8417946539567325</v>
      </c>
      <c r="Y8" s="20">
        <v>9.3069345596221691</v>
      </c>
      <c r="Z8" s="20">
        <v>11.22676604848416</v>
      </c>
    </row>
    <row r="9" spans="2:26" ht="15.75" thickBot="1" x14ac:dyDescent="0.3">
      <c r="B9" s="6" t="s">
        <v>9</v>
      </c>
      <c r="C9" s="20"/>
      <c r="D9" s="20"/>
      <c r="E9" s="20"/>
      <c r="F9" s="20"/>
      <c r="G9" s="20"/>
      <c r="H9" s="20"/>
      <c r="I9" s="20"/>
      <c r="J9" s="20"/>
      <c r="K9" s="20"/>
      <c r="L9" s="20"/>
      <c r="M9" s="20"/>
      <c r="N9" s="20"/>
      <c r="O9" s="20"/>
      <c r="P9" s="20"/>
      <c r="Q9" s="20"/>
      <c r="R9" s="20"/>
      <c r="S9" s="20"/>
      <c r="T9" s="20"/>
      <c r="U9" s="20"/>
      <c r="V9" s="20">
        <v>0.4434240742288027</v>
      </c>
      <c r="W9" s="20">
        <v>0.42212659434576394</v>
      </c>
      <c r="X9" s="20">
        <v>0.3288113661080212</v>
      </c>
      <c r="Y9" s="20">
        <v>0.43726383512198114</v>
      </c>
      <c r="Z9" s="20">
        <v>0.48689894455477595</v>
      </c>
    </row>
    <row r="10" spans="2:26" ht="15.75" thickBot="1" x14ac:dyDescent="0.3">
      <c r="B10" s="6" t="s">
        <v>10</v>
      </c>
      <c r="C10" s="20">
        <v>65.760285476310159</v>
      </c>
      <c r="D10" s="20">
        <v>55.778256109113869</v>
      </c>
      <c r="E10" s="20">
        <v>45.623093828408692</v>
      </c>
      <c r="F10" s="20">
        <v>71.263718775703921</v>
      </c>
      <c r="G10" s="20">
        <v>76.859008364778717</v>
      </c>
      <c r="H10" s="20">
        <v>93.255863463864259</v>
      </c>
      <c r="I10" s="20">
        <v>85.70092662851367</v>
      </c>
      <c r="J10" s="20">
        <v>83.615560138285161</v>
      </c>
      <c r="K10" s="20">
        <v>93.790788118244407</v>
      </c>
      <c r="L10" s="20">
        <v>127.10000724196939</v>
      </c>
      <c r="M10" s="20">
        <v>126.16281099247358</v>
      </c>
      <c r="N10" s="20">
        <v>123.63839802066933</v>
      </c>
      <c r="O10" s="20">
        <v>128.02420560670578</v>
      </c>
      <c r="P10" s="20">
        <v>185.34654067480849</v>
      </c>
      <c r="Q10" s="20">
        <v>180.2982758038938</v>
      </c>
      <c r="R10" s="20">
        <v>194.95842534994981</v>
      </c>
      <c r="S10" s="20">
        <v>165.26637173483675</v>
      </c>
      <c r="T10" s="20">
        <v>105.21962445915216</v>
      </c>
      <c r="U10" s="20">
        <v>129.03683465785625</v>
      </c>
      <c r="V10" s="20">
        <v>132.37273608047781</v>
      </c>
      <c r="W10" s="20">
        <v>120.17176638125088</v>
      </c>
      <c r="X10" s="20">
        <v>112.26722412293988</v>
      </c>
      <c r="Y10" s="20">
        <v>107.04105598311499</v>
      </c>
      <c r="Z10" s="20">
        <v>120.11609693341494</v>
      </c>
    </row>
    <row r="11" spans="2:26" ht="15.75" thickBot="1" x14ac:dyDescent="0.3">
      <c r="B11" s="6" t="s">
        <v>11</v>
      </c>
      <c r="C11" s="20">
        <v>23.512496690483392</v>
      </c>
      <c r="D11" s="20">
        <v>21.768427103434966</v>
      </c>
      <c r="E11" s="20">
        <v>15.818821508356308</v>
      </c>
      <c r="F11" s="20">
        <v>20.690002206775478</v>
      </c>
      <c r="G11" s="20">
        <v>24.707778941799116</v>
      </c>
      <c r="H11" s="20">
        <v>23.858199898238091</v>
      </c>
      <c r="I11" s="20">
        <v>55.594500446356612</v>
      </c>
      <c r="J11" s="20">
        <v>55.715731320747047</v>
      </c>
      <c r="K11" s="20">
        <v>58.518520779641221</v>
      </c>
      <c r="L11" s="20">
        <v>59.713470891938414</v>
      </c>
      <c r="M11" s="20">
        <v>62.779875453566113</v>
      </c>
      <c r="N11" s="20">
        <v>60.003039287699103</v>
      </c>
      <c r="O11" s="20">
        <v>60.672932345275704</v>
      </c>
      <c r="P11" s="20">
        <v>110.06378886612197</v>
      </c>
      <c r="Q11" s="20">
        <v>96.15514390795289</v>
      </c>
      <c r="R11" s="20">
        <v>72.803763830674029</v>
      </c>
      <c r="S11" s="20">
        <v>55.088113986360639</v>
      </c>
      <c r="T11" s="20">
        <v>33.357286123118925</v>
      </c>
      <c r="U11" s="20">
        <v>42.889028263503789</v>
      </c>
      <c r="V11" s="20">
        <v>58.669458624709584</v>
      </c>
      <c r="W11" s="20">
        <v>65.063139489411412</v>
      </c>
      <c r="X11" s="20">
        <v>61.430706150158123</v>
      </c>
      <c r="Y11" s="20">
        <v>61.269710138557599</v>
      </c>
      <c r="Z11" s="20">
        <v>66.057205270096787</v>
      </c>
    </row>
    <row r="12" spans="2:26" ht="32.1" customHeight="1" thickBot="1" x14ac:dyDescent="0.3">
      <c r="B12" s="3" t="s">
        <v>12</v>
      </c>
      <c r="C12" s="9" t="s">
        <v>114</v>
      </c>
      <c r="D12" s="9" t="s">
        <v>115</v>
      </c>
      <c r="E12" s="9" t="s">
        <v>116</v>
      </c>
      <c r="F12" s="9" t="s">
        <v>117</v>
      </c>
      <c r="G12" s="9" t="s">
        <v>118</v>
      </c>
      <c r="H12" s="9" t="s">
        <v>119</v>
      </c>
      <c r="I12" s="9" t="s">
        <v>120</v>
      </c>
      <c r="J12" s="9" t="s">
        <v>121</v>
      </c>
      <c r="K12" s="9" t="s">
        <v>122</v>
      </c>
      <c r="L12" s="9" t="s">
        <v>123</v>
      </c>
      <c r="M12" s="9" t="s">
        <v>124</v>
      </c>
      <c r="N12" s="9" t="s">
        <v>125</v>
      </c>
      <c r="O12" s="9" t="s">
        <v>126</v>
      </c>
      <c r="P12" s="9" t="s">
        <v>127</v>
      </c>
      <c r="Q12" s="9" t="s">
        <v>128</v>
      </c>
      <c r="R12" s="9" t="s">
        <v>129</v>
      </c>
      <c r="S12" s="9" t="s">
        <v>130</v>
      </c>
      <c r="T12" s="9" t="s">
        <v>131</v>
      </c>
      <c r="U12" s="9" t="s">
        <v>132</v>
      </c>
      <c r="V12" s="5" t="s">
        <v>133</v>
      </c>
      <c r="W12" s="5" t="s">
        <v>134</v>
      </c>
      <c r="X12" s="5" t="s">
        <v>135</v>
      </c>
      <c r="Y12" s="5" t="s">
        <v>136</v>
      </c>
      <c r="Z12" s="5" t="s">
        <v>137</v>
      </c>
    </row>
    <row r="13" spans="2:26" ht="16.5" thickTop="1" thickBot="1" x14ac:dyDescent="0.3">
      <c r="B13" s="6" t="s">
        <v>97</v>
      </c>
      <c r="C13" s="19">
        <v>3.8777926188945226</v>
      </c>
      <c r="D13" s="19">
        <v>2.6439680030828328</v>
      </c>
      <c r="E13" s="19">
        <v>1.3990250211425557</v>
      </c>
      <c r="F13" s="19">
        <v>1.1287611519111893</v>
      </c>
      <c r="G13" s="19">
        <v>0.95408596103531684</v>
      </c>
      <c r="H13" s="19">
        <v>0.75346564638299285</v>
      </c>
      <c r="I13" s="19">
        <v>0.32333049673883357</v>
      </c>
      <c r="J13" s="19">
        <v>0.42416812917720548</v>
      </c>
      <c r="K13" s="19">
        <v>0.53419024031737539</v>
      </c>
      <c r="L13" s="19">
        <v>0.49109396647508147</v>
      </c>
      <c r="M13" s="19">
        <v>0.4555964878308858</v>
      </c>
      <c r="N13" s="19">
        <v>0.47529750244244051</v>
      </c>
      <c r="O13" s="19">
        <v>0.3389911166622166</v>
      </c>
      <c r="P13" s="19">
        <v>0.3373897258763997</v>
      </c>
      <c r="Q13" s="19">
        <v>0.29734790970746028</v>
      </c>
      <c r="R13" s="19">
        <v>0.24451654044570889</v>
      </c>
      <c r="S13" s="19">
        <v>0.20094779972917107</v>
      </c>
      <c r="T13" s="19">
        <v>0.21035590035401311</v>
      </c>
      <c r="U13" s="19">
        <v>0.24063086604985479</v>
      </c>
      <c r="V13" s="19">
        <v>0.24204370864017619</v>
      </c>
      <c r="W13" s="19">
        <v>0.43363913782792113</v>
      </c>
      <c r="X13" s="19">
        <v>0.35161909092476257</v>
      </c>
      <c r="Y13" s="19">
        <v>0.81798493294370611</v>
      </c>
      <c r="Z13" s="19">
        <v>0.44569980309244878</v>
      </c>
    </row>
    <row r="14" spans="2:26" ht="15.75" thickBot="1" x14ac:dyDescent="0.3">
      <c r="B14" s="6" t="s">
        <v>17</v>
      </c>
      <c r="C14" s="19">
        <v>2.3615707900872218</v>
      </c>
      <c r="D14" s="19">
        <v>1.3523325782526519</v>
      </c>
      <c r="E14" s="19">
        <v>0.6335207642909686</v>
      </c>
      <c r="F14" s="19">
        <v>0.4979828611372894</v>
      </c>
      <c r="G14" s="19">
        <v>0.42429867063241361</v>
      </c>
      <c r="H14" s="19">
        <v>0.32688817273846765</v>
      </c>
      <c r="I14" s="19">
        <v>0.24536427766705809</v>
      </c>
      <c r="J14" s="19">
        <v>0.30621763336322316</v>
      </c>
      <c r="K14" s="19">
        <v>0.3523859988648233</v>
      </c>
      <c r="L14" s="19">
        <v>0.27776808058545333</v>
      </c>
      <c r="M14" s="19">
        <v>0.24870726147289898</v>
      </c>
      <c r="N14" s="19">
        <v>0.25509086140259424</v>
      </c>
      <c r="O14" s="19">
        <v>0.19432611783184392</v>
      </c>
      <c r="P14" s="19">
        <v>0.16869486293819985</v>
      </c>
      <c r="Q14" s="19">
        <v>0.15816378175928739</v>
      </c>
      <c r="R14" s="19">
        <v>0.13469131465229728</v>
      </c>
      <c r="S14" s="19">
        <v>0.13396519981944738</v>
      </c>
      <c r="T14" s="19">
        <v>0.11708488793289408</v>
      </c>
      <c r="U14" s="19">
        <v>0.13694439531292549</v>
      </c>
      <c r="V14" s="19">
        <v>0.16265337220619838</v>
      </c>
      <c r="W14" s="19">
        <v>0.28781358705392995</v>
      </c>
      <c r="X14" s="19">
        <v>0.22427596069795666</v>
      </c>
      <c r="Y14" s="19">
        <v>0.57673592046261313</v>
      </c>
      <c r="Z14" s="19">
        <v>0.29213936673286556</v>
      </c>
    </row>
    <row r="15" spans="2:26" ht="15.75" thickBot="1" x14ac:dyDescent="0.3">
      <c r="B15" s="6" t="s">
        <v>18</v>
      </c>
      <c r="C15" s="19">
        <v>1.5162218288073006</v>
      </c>
      <c r="D15" s="19">
        <v>1.2916354248301809</v>
      </c>
      <c r="E15" s="19">
        <v>0.76550425685158696</v>
      </c>
      <c r="F15" s="19">
        <v>0.63077829077390002</v>
      </c>
      <c r="G15" s="19">
        <v>0.52978729040290329</v>
      </c>
      <c r="H15" s="19">
        <v>0.4265774736445252</v>
      </c>
      <c r="I15" s="19">
        <v>7.7966219071775478E-2</v>
      </c>
      <c r="J15" s="19">
        <v>0.11795049581398227</v>
      </c>
      <c r="K15" s="19">
        <v>0.18180424145255214</v>
      </c>
      <c r="L15" s="19">
        <v>0.21332588588962817</v>
      </c>
      <c r="M15" s="19">
        <v>0.20688922635798676</v>
      </c>
      <c r="N15" s="19">
        <v>0.2202066410398463</v>
      </c>
      <c r="O15" s="19">
        <v>0.14466499883037268</v>
      </c>
      <c r="P15" s="19">
        <v>0.16869486293819985</v>
      </c>
      <c r="Q15" s="19">
        <v>0.13918412794817289</v>
      </c>
      <c r="R15" s="19">
        <v>0.10982522579341163</v>
      </c>
      <c r="S15" s="19">
        <v>6.6982599909723689E-2</v>
      </c>
      <c r="T15" s="19">
        <v>9.3271012421119015E-2</v>
      </c>
      <c r="U15" s="19">
        <v>0.1036864707369293</v>
      </c>
      <c r="V15" s="19">
        <v>7.939033643397779E-2</v>
      </c>
      <c r="W15" s="19">
        <v>0.14582555077399117</v>
      </c>
      <c r="X15" s="19">
        <v>0.12734313022680591</v>
      </c>
      <c r="Y15" s="19">
        <v>0.24124901248109307</v>
      </c>
      <c r="Z15" s="19">
        <v>0.15356043635958319</v>
      </c>
    </row>
    <row r="16" spans="2:26" ht="32.25" thickBot="1" x14ac:dyDescent="0.3">
      <c r="B16" s="3" t="s">
        <v>20</v>
      </c>
      <c r="C16" s="9" t="s">
        <v>114</v>
      </c>
      <c r="D16" s="9" t="s">
        <v>115</v>
      </c>
      <c r="E16" s="9" t="s">
        <v>116</v>
      </c>
      <c r="F16" s="9" t="s">
        <v>117</v>
      </c>
      <c r="G16" s="9" t="s">
        <v>118</v>
      </c>
      <c r="H16" s="9" t="s">
        <v>119</v>
      </c>
      <c r="I16" s="9" t="s">
        <v>120</v>
      </c>
      <c r="J16" s="9" t="s">
        <v>121</v>
      </c>
      <c r="K16" s="9" t="s">
        <v>122</v>
      </c>
      <c r="L16" s="9" t="s">
        <v>123</v>
      </c>
      <c r="M16" s="9" t="s">
        <v>124</v>
      </c>
      <c r="N16" s="9" t="s">
        <v>125</v>
      </c>
      <c r="O16" s="9" t="s">
        <v>126</v>
      </c>
      <c r="P16" s="9" t="s">
        <v>127</v>
      </c>
      <c r="Q16" s="9" t="s">
        <v>128</v>
      </c>
      <c r="R16" s="9" t="s">
        <v>129</v>
      </c>
      <c r="S16" s="9" t="s">
        <v>130</v>
      </c>
      <c r="T16" s="9" t="s">
        <v>131</v>
      </c>
      <c r="U16" s="9" t="s">
        <v>132</v>
      </c>
      <c r="V16" s="5" t="s">
        <v>133</v>
      </c>
      <c r="W16" s="5" t="s">
        <v>134</v>
      </c>
      <c r="X16" s="5" t="s">
        <v>135</v>
      </c>
      <c r="Y16" s="5" t="s">
        <v>136</v>
      </c>
      <c r="Z16" s="5" t="s">
        <v>137</v>
      </c>
    </row>
    <row r="17" spans="2:26" ht="16.5" thickTop="1" thickBot="1" x14ac:dyDescent="0.3">
      <c r="B17" s="6" t="s">
        <v>21</v>
      </c>
      <c r="C17" s="20">
        <v>6.652208250537055</v>
      </c>
      <c r="D17" s="20">
        <v>6.8150763862750328</v>
      </c>
      <c r="E17" s="20">
        <v>7.2110980935392446</v>
      </c>
      <c r="F17" s="20">
        <v>10.796742698847995</v>
      </c>
      <c r="G17" s="20">
        <v>12.342168513147282</v>
      </c>
      <c r="H17" s="20">
        <v>11.327486609930162</v>
      </c>
      <c r="I17" s="20">
        <v>13.148773534045899</v>
      </c>
      <c r="J17" s="20">
        <v>11.259735792703999</v>
      </c>
      <c r="K17" s="20">
        <v>13.408623931327734</v>
      </c>
      <c r="L17" s="20">
        <v>18.539352770595496</v>
      </c>
      <c r="M17" s="20">
        <v>19.674285046957912</v>
      </c>
      <c r="N17" s="20">
        <v>19.844760858858226</v>
      </c>
      <c r="O17" s="20">
        <v>32.921003539801383</v>
      </c>
      <c r="P17" s="20">
        <v>34.578176146307221</v>
      </c>
      <c r="Q17" s="20">
        <v>39.602102102102101</v>
      </c>
      <c r="R17" s="20">
        <v>51.742186567197891</v>
      </c>
      <c r="S17" s="20">
        <v>52.319499856758725</v>
      </c>
      <c r="T17" s="20">
        <v>40.088674934447347</v>
      </c>
      <c r="U17" s="20">
        <v>45.903761308892619</v>
      </c>
      <c r="V17" s="20">
        <v>37.966007962463472</v>
      </c>
      <c r="W17" s="20">
        <v>34.063697406456122</v>
      </c>
      <c r="X17" s="20">
        <v>40.755503603782074</v>
      </c>
      <c r="Y17" s="20">
        <v>44.282387095650634</v>
      </c>
      <c r="Z17" s="20">
        <v>39.809606782097795</v>
      </c>
    </row>
    <row r="18" spans="2:26" ht="32.1" customHeight="1" thickBot="1" x14ac:dyDescent="0.3">
      <c r="B18" s="3" t="s">
        <v>22</v>
      </c>
      <c r="C18" s="9" t="s">
        <v>114</v>
      </c>
      <c r="D18" s="9" t="s">
        <v>115</v>
      </c>
      <c r="E18" s="9" t="s">
        <v>116</v>
      </c>
      <c r="F18" s="9" t="s">
        <v>117</v>
      </c>
      <c r="G18" s="9" t="s">
        <v>118</v>
      </c>
      <c r="H18" s="9" t="s">
        <v>119</v>
      </c>
      <c r="I18" s="9" t="s">
        <v>120</v>
      </c>
      <c r="J18" s="9" t="s">
        <v>121</v>
      </c>
      <c r="K18" s="9" t="s">
        <v>122</v>
      </c>
      <c r="L18" s="9" t="s">
        <v>123</v>
      </c>
      <c r="M18" s="9" t="s">
        <v>124</v>
      </c>
      <c r="N18" s="9" t="s">
        <v>125</v>
      </c>
      <c r="O18" s="9" t="s">
        <v>126</v>
      </c>
      <c r="P18" s="9" t="s">
        <v>127</v>
      </c>
      <c r="Q18" s="9" t="s">
        <v>128</v>
      </c>
      <c r="R18" s="9" t="s">
        <v>129</v>
      </c>
      <c r="S18" s="9" t="s">
        <v>130</v>
      </c>
      <c r="T18" s="9" t="s">
        <v>131</v>
      </c>
      <c r="U18" s="9" t="s">
        <v>132</v>
      </c>
      <c r="V18" s="5" t="s">
        <v>133</v>
      </c>
      <c r="W18" s="5" t="s">
        <v>134</v>
      </c>
      <c r="X18" s="5" t="s">
        <v>135</v>
      </c>
      <c r="Y18" s="5" t="s">
        <v>136</v>
      </c>
      <c r="Z18" s="5" t="s">
        <v>137</v>
      </c>
    </row>
    <row r="19" spans="2:26" ht="16.5" thickTop="1" thickBot="1" x14ac:dyDescent="0.3">
      <c r="B19" s="6" t="s">
        <v>25</v>
      </c>
      <c r="C19" s="20">
        <v>54.372648596742842</v>
      </c>
      <c r="D19" s="20">
        <v>48.652410297315775</v>
      </c>
      <c r="E19" s="20">
        <v>62.656163468322688</v>
      </c>
      <c r="F19" s="20">
        <v>83.810515529405805</v>
      </c>
      <c r="G19" s="20">
        <v>82.946873821311186</v>
      </c>
      <c r="H19" s="20">
        <v>107.77804441445831</v>
      </c>
      <c r="I19" s="20">
        <v>96.111709998686038</v>
      </c>
      <c r="J19" s="20">
        <v>94.816320683082168</v>
      </c>
      <c r="K19" s="20">
        <v>104.20525330762517</v>
      </c>
      <c r="L19" s="20">
        <v>132.49537443926124</v>
      </c>
      <c r="M19" s="20">
        <v>141.88419124646401</v>
      </c>
      <c r="N19" s="20">
        <v>139.82249600521169</v>
      </c>
      <c r="O19" s="20">
        <v>147.87353895368511</v>
      </c>
      <c r="P19" s="20">
        <v>204.84040654522403</v>
      </c>
      <c r="Q19" s="20">
        <v>266.87923878935112</v>
      </c>
      <c r="R19" s="20">
        <v>345.22834467233889</v>
      </c>
      <c r="S19" s="20">
        <v>399.04173474703697</v>
      </c>
      <c r="T19" s="20">
        <v>260.228109144548</v>
      </c>
      <c r="U19" s="20">
        <v>338.56371583513669</v>
      </c>
      <c r="V19" s="20">
        <v>407.20659001755587</v>
      </c>
      <c r="W19" s="20">
        <v>504.43168645695278</v>
      </c>
      <c r="X19" s="20">
        <v>404.46458932515236</v>
      </c>
      <c r="Y19" s="20">
        <v>367.34497093439433</v>
      </c>
      <c r="Z19" s="20">
        <v>336.49211520530912</v>
      </c>
    </row>
    <row r="20" spans="2:26" ht="15.75" thickBot="1" x14ac:dyDescent="0.3">
      <c r="B20" s="6" t="s">
        <v>29</v>
      </c>
      <c r="C20" s="20">
        <v>4.0719279908163655</v>
      </c>
      <c r="D20" s="20">
        <v>4.3119257791323333</v>
      </c>
      <c r="E20" s="20">
        <v>3.2131981188848751</v>
      </c>
      <c r="F20" s="20">
        <v>2.9309848398366181</v>
      </c>
      <c r="G20" s="20">
        <v>1.9034835389697231</v>
      </c>
      <c r="H20" s="20">
        <v>1.4791110227456905</v>
      </c>
      <c r="I20" s="20">
        <v>2.2266234917262935</v>
      </c>
      <c r="J20" s="20">
        <v>2.2569373718252375</v>
      </c>
      <c r="K20" s="20">
        <v>2.9200903472811155</v>
      </c>
      <c r="L20" s="20">
        <v>3.6109850476108933</v>
      </c>
      <c r="M20" s="20">
        <v>8.343798480033275</v>
      </c>
      <c r="N20" s="20">
        <v>7.9710443528879011</v>
      </c>
      <c r="O20" s="20">
        <v>9.9775665611216748</v>
      </c>
      <c r="P20" s="20">
        <v>7.9393354481547727</v>
      </c>
      <c r="Q20" s="20">
        <v>8.9499611971522093</v>
      </c>
      <c r="R20" s="20">
        <v>10.360870357869022</v>
      </c>
      <c r="S20" s="20">
        <v>11.579870681362838</v>
      </c>
      <c r="T20" s="20">
        <v>8.5868866116208924</v>
      </c>
      <c r="U20" s="20">
        <v>9.777829825342879</v>
      </c>
      <c r="V20" s="20">
        <v>10.624750634469173</v>
      </c>
      <c r="W20" s="20">
        <v>12.368309214330882</v>
      </c>
      <c r="X20" s="20">
        <v>16.282814875418602</v>
      </c>
      <c r="Y20" s="20">
        <v>15.899817728832041</v>
      </c>
      <c r="Z20" s="20">
        <v>16.324223460323008</v>
      </c>
    </row>
    <row r="21" spans="2:26" ht="32.1" customHeight="1" thickBot="1" x14ac:dyDescent="0.3">
      <c r="B21" s="3" t="s">
        <v>36</v>
      </c>
      <c r="C21" s="9" t="s">
        <v>114</v>
      </c>
      <c r="D21" s="9" t="s">
        <v>115</v>
      </c>
      <c r="E21" s="9" t="s">
        <v>116</v>
      </c>
      <c r="F21" s="9" t="s">
        <v>117</v>
      </c>
      <c r="G21" s="9" t="s">
        <v>118</v>
      </c>
      <c r="H21" s="9" t="s">
        <v>119</v>
      </c>
      <c r="I21" s="9" t="s">
        <v>120</v>
      </c>
      <c r="J21" s="9" t="s">
        <v>121</v>
      </c>
      <c r="K21" s="9" t="s">
        <v>122</v>
      </c>
      <c r="L21" s="9" t="s">
        <v>123</v>
      </c>
      <c r="M21" s="9" t="s">
        <v>124</v>
      </c>
      <c r="N21" s="9" t="s">
        <v>125</v>
      </c>
      <c r="O21" s="9" t="s">
        <v>126</v>
      </c>
      <c r="P21" s="9" t="s">
        <v>127</v>
      </c>
      <c r="Q21" s="9" t="s">
        <v>128</v>
      </c>
      <c r="R21" s="9" t="s">
        <v>129</v>
      </c>
      <c r="S21" s="9" t="s">
        <v>130</v>
      </c>
      <c r="T21" s="9" t="s">
        <v>131</v>
      </c>
      <c r="U21" s="9" t="s">
        <v>132</v>
      </c>
      <c r="V21" s="5" t="s">
        <v>133</v>
      </c>
      <c r="W21" s="5" t="s">
        <v>134</v>
      </c>
      <c r="X21" s="5" t="s">
        <v>135</v>
      </c>
      <c r="Y21" s="5" t="s">
        <v>136</v>
      </c>
      <c r="Z21" s="5" t="s">
        <v>137</v>
      </c>
    </row>
    <row r="22" spans="2:26" ht="16.5" thickTop="1" thickBot="1" x14ac:dyDescent="0.3">
      <c r="B22" s="6" t="s">
        <v>37</v>
      </c>
      <c r="C22" s="20">
        <v>17.255931413103511</v>
      </c>
      <c r="D22" s="20">
        <v>19.884387461201467</v>
      </c>
      <c r="E22" s="20">
        <v>20.889387322548792</v>
      </c>
      <c r="F22" s="20">
        <v>30.322413549345338</v>
      </c>
      <c r="G22" s="20">
        <v>33.772767667409852</v>
      </c>
      <c r="H22" s="20">
        <v>35.521848104246821</v>
      </c>
      <c r="I22" s="20">
        <v>41.023989976295972</v>
      </c>
      <c r="J22" s="20">
        <v>37.290502907343622</v>
      </c>
      <c r="K22" s="20">
        <v>42.477102092463575</v>
      </c>
      <c r="L22" s="20">
        <v>52.267064187603587</v>
      </c>
      <c r="M22" s="20">
        <v>53.989284282568242</v>
      </c>
      <c r="N22" s="20">
        <v>76.411704440826654</v>
      </c>
      <c r="O22" s="20">
        <v>109.44015120472044</v>
      </c>
      <c r="P22" s="20">
        <v>143.38422736343423</v>
      </c>
      <c r="Q22" s="20">
        <v>145.02986132199615</v>
      </c>
      <c r="R22" s="20">
        <v>144.52585279598657</v>
      </c>
      <c r="S22" s="20">
        <v>150.33940083374256</v>
      </c>
      <c r="T22" s="20">
        <v>153.5022570592761</v>
      </c>
      <c r="U22" s="20">
        <v>164.62477030267667</v>
      </c>
      <c r="V22" s="20">
        <v>150.98105640073453</v>
      </c>
      <c r="W22" s="20">
        <v>139.85437822124564</v>
      </c>
      <c r="X22" s="20">
        <v>169.43288573236737</v>
      </c>
      <c r="Y22" s="20">
        <v>176.24182740698853</v>
      </c>
      <c r="Z22" s="20">
        <v>196.83451640101305</v>
      </c>
    </row>
    <row r="23" spans="2:26" ht="32.1" customHeight="1" thickBot="1" x14ac:dyDescent="0.3">
      <c r="B23" s="3" t="s">
        <v>40</v>
      </c>
      <c r="C23" s="9" t="s">
        <v>114</v>
      </c>
      <c r="D23" s="9" t="s">
        <v>115</v>
      </c>
      <c r="E23" s="9" t="s">
        <v>116</v>
      </c>
      <c r="F23" s="9" t="s">
        <v>117</v>
      </c>
      <c r="G23" s="9" t="s">
        <v>118</v>
      </c>
      <c r="H23" s="9" t="s">
        <v>119</v>
      </c>
      <c r="I23" s="9" t="s">
        <v>120</v>
      </c>
      <c r="J23" s="9" t="s">
        <v>121</v>
      </c>
      <c r="K23" s="9" t="s">
        <v>122</v>
      </c>
      <c r="L23" s="9" t="s">
        <v>123</v>
      </c>
      <c r="M23" s="9" t="s">
        <v>124</v>
      </c>
      <c r="N23" s="9" t="s">
        <v>125</v>
      </c>
      <c r="O23" s="9" t="s">
        <v>126</v>
      </c>
      <c r="P23" s="9" t="s">
        <v>127</v>
      </c>
      <c r="Q23" s="9" t="s">
        <v>128</v>
      </c>
      <c r="R23" s="9" t="s">
        <v>129</v>
      </c>
      <c r="S23" s="9" t="s">
        <v>130</v>
      </c>
      <c r="T23" s="9" t="s">
        <v>131</v>
      </c>
      <c r="U23" s="9" t="s">
        <v>132</v>
      </c>
      <c r="V23" s="5" t="s">
        <v>133</v>
      </c>
      <c r="W23" s="5" t="s">
        <v>134</v>
      </c>
      <c r="X23" s="5" t="s">
        <v>135</v>
      </c>
      <c r="Y23" s="5" t="s">
        <v>136</v>
      </c>
      <c r="Z23" s="5" t="s">
        <v>137</v>
      </c>
    </row>
    <row r="24" spans="2:26" ht="16.5" thickTop="1" thickBot="1" x14ac:dyDescent="0.3">
      <c r="B24" s="6" t="s">
        <v>41</v>
      </c>
      <c r="C24" s="20">
        <v>2.6466303235420789</v>
      </c>
      <c r="D24" s="20">
        <v>4.3823344771023995</v>
      </c>
      <c r="E24" s="20">
        <v>5.6968874788892396</v>
      </c>
      <c r="F24" s="20">
        <v>8.1432054530735805</v>
      </c>
      <c r="G24" s="20">
        <v>7.8366323531721491</v>
      </c>
      <c r="H24" s="20">
        <v>8.9210332531746346</v>
      </c>
      <c r="I24" s="20">
        <v>8.6703021855995015</v>
      </c>
      <c r="J24" s="20">
        <v>6.6914223586778405</v>
      </c>
      <c r="K24" s="20">
        <v>3.3600117216601304</v>
      </c>
      <c r="L24" s="20">
        <v>6.4219980231356804</v>
      </c>
      <c r="M24" s="20">
        <v>8.5991085891558967</v>
      </c>
      <c r="N24" s="20">
        <v>4.105436683940896</v>
      </c>
      <c r="O24" s="20">
        <v>5.4411312992916292</v>
      </c>
      <c r="P24" s="20">
        <v>8.6226564119550773</v>
      </c>
      <c r="Q24" s="20">
        <v>7.8744474811890548</v>
      </c>
      <c r="R24" s="20">
        <v>7.5261362279560569</v>
      </c>
      <c r="S24" s="20">
        <v>7.0920364874113515</v>
      </c>
      <c r="T24" s="20">
        <v>5.7450974672157358</v>
      </c>
      <c r="U24" s="20">
        <v>5.3721329932756197</v>
      </c>
      <c r="V24" s="20">
        <v>3.6693826229850708</v>
      </c>
      <c r="W24" s="20">
        <v>4.5935048493807225</v>
      </c>
      <c r="X24" s="20">
        <v>4.0844833859314313</v>
      </c>
      <c r="Y24" s="20">
        <v>3.7732853358370955</v>
      </c>
      <c r="Z24" s="20">
        <v>3.6273971369330806</v>
      </c>
    </row>
    <row r="25" spans="2:26" s="1" customFormat="1" ht="15" customHeight="1" x14ac:dyDescent="0.25">
      <c r="B25" s="49" t="s">
        <v>98</v>
      </c>
      <c r="C25" s="49"/>
      <c r="D25" s="49"/>
      <c r="E25" s="49"/>
      <c r="F25"/>
      <c r="G25" s="50"/>
      <c r="H25" s="51"/>
      <c r="I25" s="51"/>
      <c r="J25" s="51"/>
      <c r="K25" s="51"/>
      <c r="L25" s="51"/>
      <c r="M25" s="51"/>
      <c r="N25" s="51"/>
      <c r="O25" s="51"/>
      <c r="P25" s="51"/>
      <c r="Q25" s="51"/>
      <c r="R25" s="51"/>
      <c r="S25" s="51"/>
      <c r="T25" s="51"/>
      <c r="U25" s="22"/>
      <c r="V25" s="22"/>
    </row>
    <row r="26" spans="2:26" s="1" customFormat="1" x14ac:dyDescent="0.25">
      <c r="B26" s="44"/>
      <c r="C26" s="44"/>
      <c r="D26" s="44"/>
      <c r="E26" s="44"/>
      <c r="F26"/>
      <c r="G26" s="51"/>
      <c r="H26" s="51"/>
      <c r="I26" s="51"/>
      <c r="J26" s="51"/>
      <c r="K26" s="51"/>
      <c r="L26" s="51"/>
      <c r="M26" s="51"/>
      <c r="N26" s="51"/>
      <c r="O26" s="51"/>
      <c r="P26" s="51"/>
      <c r="Q26" s="51"/>
      <c r="R26" s="51"/>
      <c r="S26" s="51"/>
      <c r="T26" s="51"/>
      <c r="U26" s="22"/>
      <c r="V26" s="22"/>
    </row>
    <row r="27" spans="2:26" s="1" customFormat="1" x14ac:dyDescent="0.25">
      <c r="B27" s="26"/>
      <c r="C27" s="26"/>
      <c r="D27"/>
      <c r="E27"/>
      <c r="F27"/>
      <c r="G27" s="51"/>
      <c r="H27" s="51"/>
      <c r="I27" s="51"/>
      <c r="J27" s="51"/>
      <c r="K27" s="51"/>
      <c r="L27" s="51"/>
      <c r="M27" s="51"/>
      <c r="N27" s="51"/>
      <c r="O27" s="51"/>
      <c r="P27" s="51"/>
      <c r="Q27" s="51"/>
      <c r="R27" s="51"/>
      <c r="S27" s="51"/>
      <c r="T27" s="51"/>
      <c r="U27" s="22"/>
      <c r="V27" s="22"/>
    </row>
    <row r="28" spans="2:26" s="1" customFormat="1" x14ac:dyDescent="0.25">
      <c r="B28" s="26"/>
      <c r="C28" s="26"/>
      <c r="D28"/>
      <c r="E28"/>
      <c r="F28"/>
      <c r="G28" s="51"/>
      <c r="H28" s="51"/>
      <c r="I28" s="51"/>
      <c r="J28" s="51"/>
      <c r="K28" s="51"/>
      <c r="L28" s="51"/>
      <c r="M28" s="51"/>
      <c r="N28" s="51"/>
      <c r="O28" s="51"/>
      <c r="P28" s="51"/>
      <c r="Q28" s="51"/>
      <c r="R28" s="51"/>
      <c r="S28" s="51"/>
      <c r="T28" s="51"/>
      <c r="U28" s="22"/>
      <c r="V28" s="22"/>
    </row>
    <row r="29" spans="2:26" s="1" customFormat="1" ht="34.5" customHeight="1" x14ac:dyDescent="0.25">
      <c r="B29" s="26"/>
      <c r="C29" s="26"/>
      <c r="D29"/>
      <c r="E29"/>
      <c r="F29"/>
      <c r="G29" s="51"/>
      <c r="H29" s="51"/>
      <c r="I29" s="51"/>
      <c r="J29" s="51"/>
      <c r="K29" s="51"/>
      <c r="L29" s="51"/>
      <c r="M29" s="51"/>
      <c r="N29" s="51"/>
      <c r="O29" s="51"/>
      <c r="P29" s="51"/>
      <c r="Q29" s="51"/>
      <c r="R29" s="51"/>
      <c r="S29" s="51"/>
      <c r="T29" s="51"/>
      <c r="U29" s="22"/>
      <c r="V29" s="22"/>
    </row>
    <row r="30" spans="2:26" x14ac:dyDescent="0.25">
      <c r="C30" s="22">
        <v>2003</v>
      </c>
      <c r="D30" s="22">
        <v>2004</v>
      </c>
      <c r="E30" s="22">
        <v>2005</v>
      </c>
      <c r="F30" s="22">
        <v>2006</v>
      </c>
      <c r="G30" s="22">
        <v>2007</v>
      </c>
      <c r="H30" s="22">
        <v>2008</v>
      </c>
      <c r="I30" s="22">
        <v>2009</v>
      </c>
      <c r="J30" s="22">
        <v>2010</v>
      </c>
      <c r="K30" s="22">
        <v>2011</v>
      </c>
      <c r="L30" s="22">
        <v>2012</v>
      </c>
      <c r="M30" s="22">
        <v>2013</v>
      </c>
      <c r="N30" s="22">
        <v>2014</v>
      </c>
      <c r="O30" s="22">
        <v>2015</v>
      </c>
      <c r="P30" s="22">
        <v>2016</v>
      </c>
      <c r="Q30" s="22">
        <v>2017</v>
      </c>
      <c r="R30" s="22">
        <v>2018</v>
      </c>
      <c r="S30" s="22">
        <v>2019</v>
      </c>
      <c r="T30" s="22">
        <v>2020</v>
      </c>
      <c r="U30" s="22">
        <v>2021</v>
      </c>
      <c r="V30" s="22">
        <v>2022</v>
      </c>
      <c r="W30" s="22">
        <v>2023</v>
      </c>
      <c r="X30" s="22">
        <v>2024</v>
      </c>
      <c r="Y30" s="22">
        <v>2025</v>
      </c>
      <c r="Z30" s="22">
        <v>2026</v>
      </c>
    </row>
    <row r="34" spans="2:2" x14ac:dyDescent="0.25">
      <c r="B34" t="s">
        <v>65</v>
      </c>
    </row>
    <row r="50" spans="2:2" x14ac:dyDescent="0.25">
      <c r="B50" t="s">
        <v>99</v>
      </c>
    </row>
    <row r="103" spans="7:8" x14ac:dyDescent="0.25">
      <c r="G103">
        <v>87</v>
      </c>
      <c r="H103">
        <v>195</v>
      </c>
    </row>
  </sheetData>
  <protectedRanges>
    <protectedRange sqref="G25:T29" name="Rango1"/>
    <protectedRange sqref="B7:B11" name="Rango1_1"/>
  </protectedRanges>
  <mergeCells count="6">
    <mergeCell ref="B1:U1"/>
    <mergeCell ref="B2:U2"/>
    <mergeCell ref="B3:U3"/>
    <mergeCell ref="B4:U4"/>
    <mergeCell ref="B25:E26"/>
    <mergeCell ref="G25:T29"/>
  </mergeCells>
  <printOptions horizontalCentered="1" verticalCentered="1"/>
  <pageMargins left="0" right="0" top="0" bottom="0" header="0" footer="0"/>
  <pageSetup scale="38" fitToWidth="2" fitToHeight="2"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38FFD-C216-4400-9E5A-666F7C5DD9B7}">
  <dimension ref="B1:Y110"/>
  <sheetViews>
    <sheetView showGridLines="0" view="pageBreakPreview" zoomScale="70" zoomScaleNormal="100" zoomScaleSheetLayoutView="70" zoomScalePageLayoutView="40" workbookViewId="0"/>
  </sheetViews>
  <sheetFormatPr baseColWidth="10" defaultRowHeight="15" x14ac:dyDescent="0.25"/>
  <cols>
    <col min="1" max="1" width="1.28515625" customWidth="1"/>
    <col min="2" max="2" width="66.7109375" customWidth="1"/>
    <col min="3" max="10" width="11.42578125" customWidth="1"/>
    <col min="11" max="11" width="11.85546875" customWidth="1"/>
    <col min="12" max="12" width="11.42578125" customWidth="1"/>
    <col min="13" max="13" width="11.85546875" customWidth="1"/>
    <col min="14" max="15" width="11.42578125" customWidth="1"/>
    <col min="16" max="16" width="11.85546875" customWidth="1"/>
    <col min="17" max="17" width="11.42578125" customWidth="1"/>
    <col min="18" max="19" width="11.5703125" customWidth="1"/>
    <col min="20" max="20" width="12.42578125" customWidth="1"/>
    <col min="21" max="21" width="12" style="1" customWidth="1"/>
    <col min="22" max="22" width="12.140625" style="1" customWidth="1"/>
    <col min="23" max="23" width="13" style="1" customWidth="1"/>
    <col min="24" max="24" width="11.42578125" style="1"/>
    <col min="25" max="25" width="14" style="1" customWidth="1"/>
  </cols>
  <sheetData>
    <row r="1" spans="2:25" ht="17.25" x14ac:dyDescent="0.3">
      <c r="B1" s="41" t="s">
        <v>0</v>
      </c>
      <c r="C1" s="41"/>
      <c r="D1" s="41"/>
      <c r="E1" s="41"/>
      <c r="F1" s="41"/>
      <c r="G1" s="41"/>
      <c r="H1" s="41"/>
      <c r="I1" s="41"/>
      <c r="J1" s="41"/>
      <c r="K1" s="41"/>
      <c r="L1" s="41"/>
      <c r="M1" s="41"/>
      <c r="N1" s="41"/>
      <c r="O1" s="41"/>
      <c r="P1" s="41"/>
      <c r="Q1" s="41"/>
      <c r="R1" s="41"/>
      <c r="S1" s="41"/>
      <c r="T1" s="41"/>
      <c r="U1" s="41"/>
    </row>
    <row r="2" spans="2:25" ht="17.25" x14ac:dyDescent="0.3">
      <c r="B2" s="41" t="s">
        <v>1</v>
      </c>
      <c r="C2" s="41"/>
      <c r="D2" s="41"/>
      <c r="E2" s="41"/>
      <c r="F2" s="41"/>
      <c r="G2" s="41"/>
      <c r="H2" s="41"/>
      <c r="I2" s="41"/>
      <c r="J2" s="41"/>
      <c r="K2" s="41"/>
      <c r="L2" s="41"/>
      <c r="M2" s="41"/>
      <c r="N2" s="41"/>
      <c r="O2" s="41"/>
      <c r="P2" s="41"/>
      <c r="Q2" s="41"/>
      <c r="R2" s="41"/>
      <c r="S2" s="41"/>
      <c r="T2" s="41"/>
      <c r="U2" s="41"/>
    </row>
    <row r="3" spans="2:25" ht="17.25" x14ac:dyDescent="0.3">
      <c r="B3" s="42" t="s">
        <v>2</v>
      </c>
      <c r="C3" s="42"/>
      <c r="D3" s="42"/>
      <c r="E3" s="42"/>
      <c r="F3" s="42"/>
      <c r="G3" s="42"/>
      <c r="H3" s="42"/>
      <c r="I3" s="42"/>
      <c r="J3" s="42"/>
      <c r="K3" s="42"/>
      <c r="L3" s="42"/>
      <c r="M3" s="42"/>
      <c r="N3" s="42"/>
      <c r="O3" s="42"/>
      <c r="P3" s="42"/>
      <c r="Q3" s="42"/>
      <c r="R3" s="42"/>
      <c r="S3" s="42"/>
      <c r="T3" s="42"/>
      <c r="U3" s="42"/>
    </row>
    <row r="4" spans="2:25" ht="17.25" x14ac:dyDescent="0.3">
      <c r="B4" s="42" t="s">
        <v>99</v>
      </c>
      <c r="C4" s="42"/>
      <c r="D4" s="42"/>
      <c r="E4" s="42"/>
      <c r="F4" s="42"/>
      <c r="G4" s="42"/>
      <c r="H4" s="42"/>
      <c r="I4" s="42"/>
      <c r="J4" s="42"/>
      <c r="K4" s="42"/>
      <c r="L4" s="42"/>
      <c r="M4" s="42"/>
      <c r="N4" s="42"/>
      <c r="O4" s="42"/>
      <c r="P4" s="42"/>
      <c r="Q4" s="42"/>
      <c r="R4" s="42"/>
      <c r="S4" s="42"/>
      <c r="T4" s="42"/>
      <c r="U4" s="42"/>
    </row>
    <row r="5" spans="2:25" ht="18" thickBot="1" x14ac:dyDescent="0.35">
      <c r="B5" s="2" t="s">
        <v>4</v>
      </c>
      <c r="C5" s="2"/>
      <c r="D5" s="2"/>
      <c r="E5" s="2"/>
      <c r="F5" s="2"/>
      <c r="G5" s="2"/>
      <c r="H5" s="2"/>
      <c r="I5" s="2"/>
      <c r="J5" s="2"/>
      <c r="K5" s="2"/>
      <c r="L5" s="2"/>
      <c r="M5" s="2"/>
      <c r="N5" s="2"/>
      <c r="O5" s="2"/>
      <c r="P5" s="2"/>
      <c r="Q5" s="2"/>
      <c r="R5" s="2"/>
      <c r="S5" s="2"/>
      <c r="T5" s="2"/>
    </row>
    <row r="6" spans="2:25" ht="32.1" customHeight="1" thickBot="1" x14ac:dyDescent="0.3">
      <c r="B6" s="3" t="s">
        <v>5</v>
      </c>
      <c r="C6" s="27">
        <v>2003</v>
      </c>
      <c r="D6" s="27">
        <v>2004</v>
      </c>
      <c r="E6" s="27">
        <v>2005</v>
      </c>
      <c r="F6" s="27">
        <v>2006</v>
      </c>
      <c r="G6" s="27">
        <v>2007</v>
      </c>
      <c r="H6" s="27">
        <v>2008</v>
      </c>
      <c r="I6" s="27">
        <v>2009</v>
      </c>
      <c r="J6" s="27">
        <v>2010</v>
      </c>
      <c r="K6" s="27">
        <v>2011</v>
      </c>
      <c r="L6" s="27">
        <v>2012</v>
      </c>
      <c r="M6" s="27">
        <v>2013</v>
      </c>
      <c r="N6" s="27">
        <v>2014</v>
      </c>
      <c r="O6" s="27">
        <v>2015</v>
      </c>
      <c r="P6" s="27">
        <v>2016</v>
      </c>
      <c r="Q6" s="27">
        <v>2017</v>
      </c>
      <c r="R6" s="27">
        <v>2018</v>
      </c>
      <c r="S6" s="27">
        <v>2019</v>
      </c>
      <c r="T6" s="27">
        <v>2020</v>
      </c>
      <c r="U6" s="27">
        <v>2021</v>
      </c>
      <c r="V6" s="28">
        <v>2022</v>
      </c>
      <c r="W6" s="28">
        <v>2023</v>
      </c>
      <c r="X6" s="28">
        <v>2024</v>
      </c>
      <c r="Y6" s="28">
        <v>2025</v>
      </c>
    </row>
    <row r="7" spans="2:25" ht="16.5" thickTop="1" thickBot="1" x14ac:dyDescent="0.3">
      <c r="B7" s="6" t="s">
        <v>6</v>
      </c>
      <c r="C7" s="7">
        <v>22619</v>
      </c>
      <c r="D7" s="7">
        <v>18963</v>
      </c>
      <c r="E7" s="7">
        <v>16888</v>
      </c>
      <c r="F7" s="7">
        <v>15870</v>
      </c>
      <c r="G7" s="7">
        <v>15251</v>
      </c>
      <c r="H7" s="7">
        <v>14752</v>
      </c>
      <c r="I7" s="7">
        <v>15337</v>
      </c>
      <c r="J7" s="7">
        <v>14871</v>
      </c>
      <c r="K7" s="7">
        <v>15663</v>
      </c>
      <c r="L7" s="7">
        <v>15833</v>
      </c>
      <c r="M7" s="7">
        <v>14820</v>
      </c>
      <c r="N7" s="7">
        <v>12841</v>
      </c>
      <c r="O7" s="7">
        <v>12334</v>
      </c>
      <c r="P7" s="7">
        <v>12045</v>
      </c>
      <c r="Q7" s="7">
        <v>11957</v>
      </c>
      <c r="R7" s="7">
        <v>12573</v>
      </c>
      <c r="S7" s="7">
        <v>12547</v>
      </c>
      <c r="T7" s="7">
        <v>12010</v>
      </c>
      <c r="U7" s="7">
        <v>13685</v>
      </c>
      <c r="V7" s="7">
        <v>13536</v>
      </c>
      <c r="W7" s="7">
        <v>13555</v>
      </c>
      <c r="X7" s="7">
        <v>13497</v>
      </c>
      <c r="Y7" s="7">
        <v>14038</v>
      </c>
    </row>
    <row r="8" spans="2:25" ht="15.75" thickBot="1" x14ac:dyDescent="0.3">
      <c r="B8" s="6" t="s">
        <v>7</v>
      </c>
      <c r="C8" s="7">
        <v>4121</v>
      </c>
      <c r="D8" s="7">
        <v>4054</v>
      </c>
      <c r="E8" s="7">
        <v>3889</v>
      </c>
      <c r="F8" s="7">
        <v>4056</v>
      </c>
      <c r="G8" s="7">
        <v>4107</v>
      </c>
      <c r="H8" s="7">
        <v>3812</v>
      </c>
      <c r="I8" s="7">
        <v>4768</v>
      </c>
      <c r="J8" s="7">
        <v>4500</v>
      </c>
      <c r="K8" s="7">
        <v>4295</v>
      </c>
      <c r="L8" s="7">
        <v>4549</v>
      </c>
      <c r="M8" s="7">
        <v>4922</v>
      </c>
      <c r="N8" s="7">
        <v>4835</v>
      </c>
      <c r="O8" s="7">
        <v>5344</v>
      </c>
      <c r="P8" s="7">
        <v>5609</v>
      </c>
      <c r="Q8" s="7">
        <v>5261</v>
      </c>
      <c r="R8" s="7">
        <v>6017</v>
      </c>
      <c r="S8" s="7">
        <v>6053</v>
      </c>
      <c r="T8" s="7">
        <v>5068</v>
      </c>
      <c r="U8" s="7">
        <v>6998</v>
      </c>
      <c r="V8" s="7">
        <v>7532</v>
      </c>
      <c r="W8" s="7">
        <v>7584</v>
      </c>
      <c r="X8" s="7">
        <v>7126</v>
      </c>
      <c r="Y8" s="7">
        <v>7563</v>
      </c>
    </row>
    <row r="9" spans="2:25" ht="15.75" thickBot="1" x14ac:dyDescent="0.3">
      <c r="B9" s="6" t="s">
        <v>8</v>
      </c>
      <c r="C9" s="7"/>
      <c r="D9" s="7"/>
      <c r="E9" s="7"/>
      <c r="F9" s="7"/>
      <c r="G9" s="7"/>
      <c r="H9" s="7"/>
      <c r="I9" s="7"/>
      <c r="J9" s="7"/>
      <c r="K9" s="7"/>
      <c r="L9" s="7"/>
      <c r="M9" s="7"/>
      <c r="N9" s="7"/>
      <c r="O9" s="7"/>
      <c r="P9" s="7"/>
      <c r="Q9" s="7"/>
      <c r="R9" s="7"/>
      <c r="S9" s="7"/>
      <c r="T9" s="7"/>
      <c r="U9" s="7"/>
      <c r="V9" s="7">
        <v>93</v>
      </c>
      <c r="W9" s="7">
        <v>100</v>
      </c>
      <c r="X9" s="7">
        <v>87</v>
      </c>
      <c r="Y9" s="7">
        <v>90</v>
      </c>
    </row>
    <row r="10" spans="2:25" ht="15.75" thickBot="1" x14ac:dyDescent="0.3">
      <c r="B10" s="6" t="s">
        <v>9</v>
      </c>
      <c r="C10" s="7"/>
      <c r="D10" s="7"/>
      <c r="E10" s="7"/>
      <c r="F10" s="7"/>
      <c r="G10" s="7"/>
      <c r="H10" s="7"/>
      <c r="I10" s="7"/>
      <c r="J10" s="7"/>
      <c r="K10" s="7"/>
      <c r="L10" s="7"/>
      <c r="M10" s="7"/>
      <c r="N10" s="7"/>
      <c r="O10" s="7"/>
      <c r="P10" s="7"/>
      <c r="Q10" s="7"/>
      <c r="R10" s="7"/>
      <c r="S10" s="7"/>
      <c r="T10" s="7"/>
      <c r="U10" s="7"/>
      <c r="V10" s="7">
        <v>340</v>
      </c>
      <c r="W10" s="7">
        <v>333</v>
      </c>
      <c r="X10" s="7">
        <v>302</v>
      </c>
      <c r="Y10" s="7">
        <v>315</v>
      </c>
    </row>
    <row r="11" spans="2:25" ht="15.75" thickBot="1" x14ac:dyDescent="0.3">
      <c r="B11" s="6" t="s">
        <v>10</v>
      </c>
      <c r="C11" s="7">
        <v>40039</v>
      </c>
      <c r="D11" s="7">
        <v>32534</v>
      </c>
      <c r="E11" s="7">
        <v>30409</v>
      </c>
      <c r="F11" s="7">
        <v>46530</v>
      </c>
      <c r="G11" s="7">
        <v>47958</v>
      </c>
      <c r="H11" s="7">
        <v>58914</v>
      </c>
      <c r="I11" s="7">
        <v>55123</v>
      </c>
      <c r="J11" s="7">
        <v>53141</v>
      </c>
      <c r="K11" s="7">
        <v>62186</v>
      </c>
      <c r="L11" s="7">
        <v>82183</v>
      </c>
      <c r="M11" s="7">
        <v>82940</v>
      </c>
      <c r="N11" s="7">
        <v>82236</v>
      </c>
      <c r="O11" s="7">
        <v>86966</v>
      </c>
      <c r="P11" s="7">
        <v>127222</v>
      </c>
      <c r="Q11" s="7">
        <v>132655</v>
      </c>
      <c r="R11" s="7">
        <v>138303</v>
      </c>
      <c r="S11" s="7">
        <v>119293</v>
      </c>
      <c r="T11" s="7">
        <v>84912</v>
      </c>
      <c r="U11" s="7">
        <v>105305</v>
      </c>
      <c r="V11" s="7">
        <v>99510</v>
      </c>
      <c r="W11" s="7">
        <v>98886</v>
      </c>
      <c r="X11" s="7">
        <v>90946</v>
      </c>
      <c r="Y11" s="7">
        <v>88016</v>
      </c>
    </row>
    <row r="12" spans="2:25" ht="15.75" thickBot="1" x14ac:dyDescent="0.3">
      <c r="B12" s="6" t="s">
        <v>11</v>
      </c>
      <c r="C12" s="7">
        <v>14568</v>
      </c>
      <c r="D12" s="7">
        <v>12257</v>
      </c>
      <c r="E12" s="7">
        <v>10063</v>
      </c>
      <c r="F12" s="7">
        <v>13145</v>
      </c>
      <c r="G12" s="7">
        <v>16194</v>
      </c>
      <c r="H12" s="7">
        <v>17224</v>
      </c>
      <c r="I12" s="7">
        <v>38003</v>
      </c>
      <c r="J12" s="7">
        <v>36004</v>
      </c>
      <c r="K12" s="7">
        <v>36964</v>
      </c>
      <c r="L12" s="7">
        <v>38129</v>
      </c>
      <c r="M12" s="7">
        <v>41280</v>
      </c>
      <c r="N12" s="7">
        <v>40432</v>
      </c>
      <c r="O12" s="7">
        <v>42588</v>
      </c>
      <c r="P12" s="7">
        <v>77037</v>
      </c>
      <c r="Q12" s="7">
        <v>67281</v>
      </c>
      <c r="R12" s="7">
        <v>48999</v>
      </c>
      <c r="S12" s="7">
        <v>40150</v>
      </c>
      <c r="T12" s="7">
        <v>27481</v>
      </c>
      <c r="U12" s="7">
        <v>34114</v>
      </c>
      <c r="V12" s="7">
        <v>45760</v>
      </c>
      <c r="W12" s="7">
        <v>51338</v>
      </c>
      <c r="X12" s="7">
        <v>47344</v>
      </c>
      <c r="Y12" s="7">
        <v>48432</v>
      </c>
    </row>
    <row r="13" spans="2:25" ht="32.1" customHeight="1" thickBot="1" x14ac:dyDescent="0.3">
      <c r="B13" s="3" t="s">
        <v>12</v>
      </c>
      <c r="C13" s="9">
        <v>2003</v>
      </c>
      <c r="D13" s="9">
        <v>2004</v>
      </c>
      <c r="E13" s="9">
        <v>2005</v>
      </c>
      <c r="F13" s="9">
        <v>2006</v>
      </c>
      <c r="G13" s="9">
        <v>2007</v>
      </c>
      <c r="H13" s="9">
        <v>2008</v>
      </c>
      <c r="I13" s="9">
        <v>2009</v>
      </c>
      <c r="J13" s="9">
        <v>2010</v>
      </c>
      <c r="K13" s="9">
        <v>2011</v>
      </c>
      <c r="L13" s="9">
        <v>2012</v>
      </c>
      <c r="M13" s="9">
        <v>2013</v>
      </c>
      <c r="N13" s="9">
        <v>2014</v>
      </c>
      <c r="O13" s="9">
        <v>2015</v>
      </c>
      <c r="P13" s="9">
        <v>2016</v>
      </c>
      <c r="Q13" s="9">
        <v>2017</v>
      </c>
      <c r="R13" s="9">
        <v>2018</v>
      </c>
      <c r="S13" s="9">
        <v>2019</v>
      </c>
      <c r="T13" s="9">
        <v>2020</v>
      </c>
      <c r="U13" s="9">
        <v>2021</v>
      </c>
      <c r="V13" s="28">
        <v>2022</v>
      </c>
      <c r="W13" s="28">
        <v>2023</v>
      </c>
      <c r="X13" s="28">
        <v>2024</v>
      </c>
      <c r="Y13" s="28">
        <v>2025</v>
      </c>
    </row>
    <row r="14" spans="2:25" ht="16.5" thickTop="1" thickBot="1" x14ac:dyDescent="0.3">
      <c r="B14" s="6" t="s">
        <v>13</v>
      </c>
      <c r="C14" s="7">
        <v>0</v>
      </c>
      <c r="D14" s="7">
        <v>0</v>
      </c>
      <c r="E14" s="7">
        <v>0</v>
      </c>
      <c r="F14" s="7">
        <v>3</v>
      </c>
      <c r="G14" s="7">
        <v>47</v>
      </c>
      <c r="H14" s="7">
        <v>97</v>
      </c>
      <c r="I14" s="7">
        <v>153</v>
      </c>
      <c r="J14" s="7">
        <v>32</v>
      </c>
      <c r="K14" s="7">
        <v>46</v>
      </c>
      <c r="L14" s="7">
        <v>40</v>
      </c>
      <c r="M14" s="7">
        <v>29</v>
      </c>
      <c r="N14" s="7">
        <v>29</v>
      </c>
      <c r="O14" s="7">
        <v>166</v>
      </c>
      <c r="P14" s="7">
        <v>179</v>
      </c>
      <c r="Q14" s="7">
        <v>170</v>
      </c>
      <c r="R14" s="7">
        <v>215</v>
      </c>
      <c r="S14" s="7">
        <v>320</v>
      </c>
      <c r="T14" s="7">
        <v>289</v>
      </c>
      <c r="U14" s="7">
        <v>469</v>
      </c>
      <c r="V14" s="7">
        <v>353</v>
      </c>
      <c r="W14" s="7">
        <v>591</v>
      </c>
      <c r="X14" s="7">
        <v>250</v>
      </c>
      <c r="Y14" s="7">
        <v>261</v>
      </c>
    </row>
    <row r="15" spans="2:25" ht="15.75" thickBot="1" x14ac:dyDescent="0.3">
      <c r="B15" s="6" t="s">
        <v>14</v>
      </c>
      <c r="C15" s="7">
        <v>1</v>
      </c>
      <c r="D15" s="7">
        <v>2</v>
      </c>
      <c r="E15" s="7">
        <v>2</v>
      </c>
      <c r="F15" s="7">
        <v>4</v>
      </c>
      <c r="G15" s="7">
        <v>10</v>
      </c>
      <c r="H15" s="7">
        <v>36</v>
      </c>
      <c r="I15" s="7">
        <v>39</v>
      </c>
      <c r="J15" s="7">
        <v>18</v>
      </c>
      <c r="K15" s="7">
        <v>28</v>
      </c>
      <c r="L15" s="7">
        <v>10</v>
      </c>
      <c r="M15" s="7">
        <v>11</v>
      </c>
      <c r="N15" s="7">
        <v>28</v>
      </c>
      <c r="O15" s="7">
        <v>193</v>
      </c>
      <c r="P15" s="7">
        <v>302</v>
      </c>
      <c r="Q15" s="7">
        <v>133</v>
      </c>
      <c r="R15" s="7">
        <v>154</v>
      </c>
      <c r="S15" s="7">
        <v>55</v>
      </c>
      <c r="T15" s="7">
        <v>124</v>
      </c>
      <c r="U15" s="7">
        <v>438</v>
      </c>
      <c r="V15" s="7">
        <v>260</v>
      </c>
      <c r="W15" s="7">
        <v>306</v>
      </c>
      <c r="X15" s="7">
        <v>19</v>
      </c>
      <c r="Y15" s="7">
        <v>1</v>
      </c>
    </row>
    <row r="16" spans="2:25" ht="15.75" thickBot="1" x14ac:dyDescent="0.3">
      <c r="B16" s="10" t="s">
        <v>15</v>
      </c>
      <c r="C16" s="11">
        <v>2121</v>
      </c>
      <c r="D16" s="11">
        <v>1440</v>
      </c>
      <c r="E16" s="11">
        <v>800</v>
      </c>
      <c r="F16" s="11">
        <v>687</v>
      </c>
      <c r="G16" s="11">
        <v>521</v>
      </c>
      <c r="H16" s="11">
        <v>437</v>
      </c>
      <c r="I16" s="11">
        <v>213</v>
      </c>
      <c r="J16" s="11">
        <v>282</v>
      </c>
      <c r="K16" s="11">
        <v>305</v>
      </c>
      <c r="L16" s="11">
        <v>305</v>
      </c>
      <c r="M16" s="11">
        <v>299</v>
      </c>
      <c r="N16" s="11">
        <v>288</v>
      </c>
      <c r="O16" s="11">
        <v>213</v>
      </c>
      <c r="P16" s="11">
        <v>207</v>
      </c>
      <c r="Q16" s="11">
        <v>195</v>
      </c>
      <c r="R16" s="11">
        <v>176</v>
      </c>
      <c r="S16" s="11">
        <v>163</v>
      </c>
      <c r="T16" s="11">
        <v>162</v>
      </c>
      <c r="U16" s="11">
        <v>160</v>
      </c>
      <c r="V16" s="11">
        <v>223</v>
      </c>
      <c r="W16" s="11">
        <v>338</v>
      </c>
      <c r="X16" s="11">
        <v>313</v>
      </c>
      <c r="Y16" s="11">
        <v>701</v>
      </c>
    </row>
    <row r="17" spans="2:25" ht="15.75" thickBot="1" x14ac:dyDescent="0.3">
      <c r="B17" s="6" t="s">
        <v>16</v>
      </c>
      <c r="C17" s="7"/>
      <c r="D17" s="7"/>
      <c r="E17" s="7"/>
      <c r="F17" s="7"/>
      <c r="G17" s="7"/>
      <c r="H17" s="7"/>
      <c r="I17" s="7"/>
      <c r="J17" s="7"/>
      <c r="K17" s="7"/>
      <c r="L17" s="7"/>
      <c r="M17" s="7"/>
      <c r="N17" s="7"/>
      <c r="O17" s="7"/>
      <c r="P17" s="7"/>
      <c r="Q17" s="7"/>
      <c r="R17" s="7"/>
      <c r="S17" s="7"/>
      <c r="T17" s="7"/>
      <c r="U17" s="7"/>
      <c r="V17" s="7">
        <v>163</v>
      </c>
      <c r="W17" s="7">
        <v>262</v>
      </c>
      <c r="X17" s="7">
        <v>248</v>
      </c>
      <c r="Y17" s="7">
        <v>328</v>
      </c>
    </row>
    <row r="18" spans="2:25" ht="15.75" thickBot="1" x14ac:dyDescent="0.3">
      <c r="B18" s="6" t="s">
        <v>17</v>
      </c>
      <c r="C18" s="7">
        <v>1258</v>
      </c>
      <c r="D18" s="7">
        <v>759</v>
      </c>
      <c r="E18" s="7">
        <v>376</v>
      </c>
      <c r="F18" s="7">
        <v>291</v>
      </c>
      <c r="G18" s="7">
        <v>231</v>
      </c>
      <c r="H18" s="7">
        <v>198</v>
      </c>
      <c r="I18" s="7">
        <v>160</v>
      </c>
      <c r="J18" s="7">
        <v>192</v>
      </c>
      <c r="K18" s="7">
        <v>208</v>
      </c>
      <c r="L18" s="7">
        <v>176</v>
      </c>
      <c r="M18" s="7">
        <v>163</v>
      </c>
      <c r="N18" s="7">
        <v>167</v>
      </c>
      <c r="O18" s="7">
        <v>123</v>
      </c>
      <c r="P18" s="7">
        <v>106</v>
      </c>
      <c r="Q18" s="7">
        <v>110</v>
      </c>
      <c r="R18" s="7">
        <v>109</v>
      </c>
      <c r="S18" s="7">
        <v>107</v>
      </c>
      <c r="T18" s="7">
        <v>80</v>
      </c>
      <c r="U18" s="7">
        <v>99</v>
      </c>
      <c r="V18" s="7">
        <v>141</v>
      </c>
      <c r="W18" s="7">
        <v>221</v>
      </c>
      <c r="X18" s="7">
        <v>209</v>
      </c>
      <c r="Y18" s="7">
        <v>497</v>
      </c>
    </row>
    <row r="19" spans="2:25" ht="15.75" thickBot="1" x14ac:dyDescent="0.3">
      <c r="B19" s="6" t="s">
        <v>18</v>
      </c>
      <c r="C19" s="7">
        <v>863</v>
      </c>
      <c r="D19" s="7">
        <v>681</v>
      </c>
      <c r="E19" s="7">
        <v>424</v>
      </c>
      <c r="F19" s="7">
        <v>396</v>
      </c>
      <c r="G19" s="7">
        <v>290</v>
      </c>
      <c r="H19" s="7">
        <v>239</v>
      </c>
      <c r="I19" s="7">
        <v>53</v>
      </c>
      <c r="J19" s="7">
        <v>90</v>
      </c>
      <c r="K19" s="7">
        <v>97</v>
      </c>
      <c r="L19" s="7">
        <v>129</v>
      </c>
      <c r="M19" s="7">
        <v>136</v>
      </c>
      <c r="N19" s="7">
        <v>121</v>
      </c>
      <c r="O19" s="7">
        <v>90</v>
      </c>
      <c r="P19" s="7">
        <v>101</v>
      </c>
      <c r="Q19" s="7">
        <v>85</v>
      </c>
      <c r="R19" s="7">
        <v>67</v>
      </c>
      <c r="S19" s="7">
        <v>56</v>
      </c>
      <c r="T19" s="7">
        <v>82</v>
      </c>
      <c r="U19" s="7">
        <v>61</v>
      </c>
      <c r="V19" s="7">
        <v>82</v>
      </c>
      <c r="W19" s="7">
        <v>117</v>
      </c>
      <c r="X19" s="7">
        <v>104</v>
      </c>
      <c r="Y19" s="7">
        <v>204</v>
      </c>
    </row>
    <row r="20" spans="2:25" ht="15.75" thickBot="1" x14ac:dyDescent="0.3">
      <c r="B20" s="6" t="s">
        <v>19</v>
      </c>
      <c r="C20" s="7">
        <v>411</v>
      </c>
      <c r="D20" s="7">
        <v>253</v>
      </c>
      <c r="E20" s="7">
        <v>135</v>
      </c>
      <c r="F20" s="7">
        <v>149</v>
      </c>
      <c r="G20" s="7">
        <v>139</v>
      </c>
      <c r="H20" s="7">
        <v>152</v>
      </c>
      <c r="I20" s="7">
        <v>93</v>
      </c>
      <c r="J20" s="7">
        <v>103</v>
      </c>
      <c r="K20" s="7">
        <v>127</v>
      </c>
      <c r="L20" s="7">
        <v>77</v>
      </c>
      <c r="M20" s="7">
        <v>102</v>
      </c>
      <c r="N20" s="7">
        <v>100</v>
      </c>
      <c r="O20" s="7">
        <v>65</v>
      </c>
      <c r="P20" s="7">
        <v>63</v>
      </c>
      <c r="Q20" s="7">
        <v>49</v>
      </c>
      <c r="R20" s="7">
        <v>49</v>
      </c>
      <c r="S20" s="7">
        <v>48</v>
      </c>
      <c r="T20" s="7">
        <v>31</v>
      </c>
      <c r="U20" s="7">
        <v>29</v>
      </c>
      <c r="V20" s="7">
        <v>67</v>
      </c>
      <c r="W20" s="7">
        <v>85</v>
      </c>
      <c r="X20" s="7">
        <v>69</v>
      </c>
      <c r="Y20" s="7">
        <v>105</v>
      </c>
    </row>
    <row r="21" spans="2:25" ht="31.5" customHeight="1" thickBot="1" x14ac:dyDescent="0.3">
      <c r="B21" s="3" t="s">
        <v>20</v>
      </c>
      <c r="C21" s="9">
        <v>2003</v>
      </c>
      <c r="D21" s="9">
        <v>2004</v>
      </c>
      <c r="E21" s="9">
        <v>2005</v>
      </c>
      <c r="F21" s="9">
        <v>2006</v>
      </c>
      <c r="G21" s="9">
        <v>2007</v>
      </c>
      <c r="H21" s="9">
        <v>2008</v>
      </c>
      <c r="I21" s="9">
        <v>2009</v>
      </c>
      <c r="J21" s="9">
        <v>2010</v>
      </c>
      <c r="K21" s="9">
        <v>2011</v>
      </c>
      <c r="L21" s="9">
        <v>2012</v>
      </c>
      <c r="M21" s="9">
        <v>2013</v>
      </c>
      <c r="N21" s="9">
        <v>2014</v>
      </c>
      <c r="O21" s="9">
        <v>2015</v>
      </c>
      <c r="P21" s="9">
        <v>2016</v>
      </c>
      <c r="Q21" s="9">
        <v>2017</v>
      </c>
      <c r="R21" s="9">
        <v>2018</v>
      </c>
      <c r="S21" s="9">
        <v>2019</v>
      </c>
      <c r="T21" s="9">
        <v>2020</v>
      </c>
      <c r="U21" s="9">
        <v>2021</v>
      </c>
      <c r="V21" s="28">
        <v>2022</v>
      </c>
      <c r="W21" s="28">
        <v>2023</v>
      </c>
      <c r="X21" s="28">
        <v>2024</v>
      </c>
      <c r="Y21" s="28">
        <v>2025</v>
      </c>
    </row>
    <row r="22" spans="2:25" ht="16.5" thickTop="1" thickBot="1" x14ac:dyDescent="0.3">
      <c r="B22" s="6" t="s">
        <v>21</v>
      </c>
      <c r="C22" s="7">
        <v>4156</v>
      </c>
      <c r="D22" s="7">
        <v>4342</v>
      </c>
      <c r="E22" s="7">
        <v>4579</v>
      </c>
      <c r="F22" s="7">
        <v>6838</v>
      </c>
      <c r="G22" s="7">
        <v>7252</v>
      </c>
      <c r="H22" s="7">
        <v>6933</v>
      </c>
      <c r="I22" s="7">
        <v>7787</v>
      </c>
      <c r="J22" s="7">
        <v>6887</v>
      </c>
      <c r="K22" s="7">
        <v>8249</v>
      </c>
      <c r="L22" s="7">
        <v>11488</v>
      </c>
      <c r="M22" s="7">
        <v>11732</v>
      </c>
      <c r="N22" s="7">
        <v>12789</v>
      </c>
      <c r="O22" s="7">
        <v>21929</v>
      </c>
      <c r="P22" s="7">
        <v>23954</v>
      </c>
      <c r="Q22" s="7">
        <v>28372</v>
      </c>
      <c r="R22" s="7">
        <v>36815</v>
      </c>
      <c r="S22" s="7">
        <v>38185</v>
      </c>
      <c r="T22" s="7">
        <v>30922</v>
      </c>
      <c r="U22" s="7">
        <v>34727</v>
      </c>
      <c r="V22" s="7">
        <v>27663</v>
      </c>
      <c r="W22" s="7">
        <v>28053</v>
      </c>
      <c r="X22" s="7">
        <v>31474</v>
      </c>
      <c r="Y22" s="7">
        <v>32985</v>
      </c>
    </row>
    <row r="23" spans="2:25" ht="32.1" customHeight="1" thickBot="1" x14ac:dyDescent="0.3">
      <c r="B23" s="3" t="s">
        <v>22</v>
      </c>
      <c r="C23" s="9">
        <v>2003</v>
      </c>
      <c r="D23" s="9">
        <v>2004</v>
      </c>
      <c r="E23" s="9">
        <v>2005</v>
      </c>
      <c r="F23" s="9">
        <v>2006</v>
      </c>
      <c r="G23" s="9">
        <v>2007</v>
      </c>
      <c r="H23" s="9">
        <v>2008</v>
      </c>
      <c r="I23" s="9">
        <v>2009</v>
      </c>
      <c r="J23" s="9">
        <v>2010</v>
      </c>
      <c r="K23" s="9">
        <v>2011</v>
      </c>
      <c r="L23" s="9">
        <v>2012</v>
      </c>
      <c r="M23" s="9">
        <v>2013</v>
      </c>
      <c r="N23" s="9">
        <v>2014</v>
      </c>
      <c r="O23" s="9">
        <v>2015</v>
      </c>
      <c r="P23" s="9">
        <v>2016</v>
      </c>
      <c r="Q23" s="9">
        <v>2017</v>
      </c>
      <c r="R23" s="9">
        <v>2018</v>
      </c>
      <c r="S23" s="9">
        <v>2019</v>
      </c>
      <c r="T23" s="9">
        <v>2020</v>
      </c>
      <c r="U23" s="9">
        <v>2021</v>
      </c>
      <c r="V23" s="28">
        <v>2022</v>
      </c>
      <c r="W23" s="28">
        <v>2023</v>
      </c>
      <c r="X23" s="28">
        <v>2024</v>
      </c>
      <c r="Y23" s="28">
        <v>2025</v>
      </c>
    </row>
    <row r="24" spans="2:25" ht="16.5" thickTop="1" thickBot="1" x14ac:dyDescent="0.3">
      <c r="B24" s="6" t="s">
        <v>23</v>
      </c>
      <c r="C24" s="7">
        <v>16321</v>
      </c>
      <c r="D24" s="7">
        <v>14798</v>
      </c>
      <c r="E24" s="7">
        <v>14796</v>
      </c>
      <c r="F24" s="7">
        <v>20257</v>
      </c>
      <c r="G24" s="7">
        <v>17725</v>
      </c>
      <c r="H24" s="7">
        <v>20391</v>
      </c>
      <c r="I24" s="7">
        <v>18204</v>
      </c>
      <c r="J24" s="7">
        <v>17439</v>
      </c>
      <c r="K24" s="7">
        <v>17968</v>
      </c>
      <c r="L24" s="7">
        <v>22349</v>
      </c>
      <c r="M24" s="7">
        <v>21232</v>
      </c>
      <c r="N24" s="7">
        <v>20756</v>
      </c>
      <c r="O24" s="7">
        <v>21164</v>
      </c>
      <c r="P24" s="7">
        <v>24191</v>
      </c>
      <c r="Q24" s="7">
        <v>46550</v>
      </c>
      <c r="R24" s="7">
        <v>47372</v>
      </c>
      <c r="S24" s="7">
        <v>46462</v>
      </c>
      <c r="T24" s="7">
        <v>3917</v>
      </c>
      <c r="U24" s="7">
        <v>33249</v>
      </c>
      <c r="V24" s="7">
        <v>34507</v>
      </c>
      <c r="W24" s="7">
        <v>35701</v>
      </c>
      <c r="X24" s="7">
        <v>29662</v>
      </c>
      <c r="Y24" s="7">
        <v>25813</v>
      </c>
    </row>
    <row r="25" spans="2:25" ht="15.75" thickBot="1" x14ac:dyDescent="0.3">
      <c r="B25" s="6" t="s">
        <v>24</v>
      </c>
      <c r="C25" s="7">
        <v>13121</v>
      </c>
      <c r="D25" s="7">
        <v>11611</v>
      </c>
      <c r="E25" s="7">
        <v>13561</v>
      </c>
      <c r="F25" s="7">
        <v>16228</v>
      </c>
      <c r="G25" s="7">
        <v>14982</v>
      </c>
      <c r="H25" s="7">
        <v>12136</v>
      </c>
      <c r="I25" s="7">
        <v>14474</v>
      </c>
      <c r="J25" s="7">
        <v>12948</v>
      </c>
      <c r="K25" s="7">
        <v>15295</v>
      </c>
      <c r="L25" s="7">
        <v>21475</v>
      </c>
      <c r="M25" s="7">
        <v>22544</v>
      </c>
      <c r="N25" s="7">
        <v>21724</v>
      </c>
      <c r="O25" s="7">
        <v>22466</v>
      </c>
      <c r="P25" s="7">
        <v>23060</v>
      </c>
      <c r="Q25" s="7">
        <v>60311</v>
      </c>
      <c r="R25" s="7">
        <v>65580</v>
      </c>
      <c r="S25" s="7">
        <v>61647</v>
      </c>
      <c r="T25" s="7">
        <v>44220</v>
      </c>
      <c r="U25" s="7">
        <v>43102</v>
      </c>
      <c r="V25" s="7">
        <v>46409</v>
      </c>
      <c r="W25" s="7">
        <v>43023</v>
      </c>
      <c r="X25" s="7">
        <v>38462</v>
      </c>
      <c r="Y25" s="7">
        <v>26331</v>
      </c>
    </row>
    <row r="26" spans="2:25" ht="15.75" thickBot="1" x14ac:dyDescent="0.3">
      <c r="B26" s="6" t="s">
        <v>25</v>
      </c>
      <c r="C26" s="7">
        <v>32127</v>
      </c>
      <c r="D26" s="7">
        <v>28566</v>
      </c>
      <c r="E26" s="7">
        <v>41323</v>
      </c>
      <c r="F26" s="7">
        <v>54777</v>
      </c>
      <c r="G26" s="7">
        <v>51091</v>
      </c>
      <c r="H26" s="7">
        <v>66530</v>
      </c>
      <c r="I26" s="7">
        <v>61072</v>
      </c>
      <c r="J26" s="7">
        <v>61442</v>
      </c>
      <c r="K26" s="7">
        <v>67866</v>
      </c>
      <c r="L26" s="7">
        <v>82656</v>
      </c>
      <c r="M26" s="7">
        <v>93455</v>
      </c>
      <c r="N26" s="7">
        <v>94427</v>
      </c>
      <c r="O26" s="7">
        <v>101448</v>
      </c>
      <c r="P26" s="7">
        <v>146864</v>
      </c>
      <c r="Q26" s="7">
        <v>209781</v>
      </c>
      <c r="R26" s="7">
        <v>257069</v>
      </c>
      <c r="S26" s="7">
        <v>306836</v>
      </c>
      <c r="T26" s="7">
        <v>208037</v>
      </c>
      <c r="U26" s="7">
        <v>281417</v>
      </c>
      <c r="V26" s="7">
        <v>351680</v>
      </c>
      <c r="W26" s="7">
        <v>391005</v>
      </c>
      <c r="X26" s="7">
        <v>316216</v>
      </c>
      <c r="Y26" s="7">
        <v>289374</v>
      </c>
    </row>
    <row r="27" spans="2:25" ht="15.75" thickBot="1" x14ac:dyDescent="0.3">
      <c r="B27" s="6" t="s">
        <v>26</v>
      </c>
      <c r="C27" s="7">
        <v>176</v>
      </c>
      <c r="D27" s="7">
        <v>99</v>
      </c>
      <c r="E27" s="7">
        <v>91</v>
      </c>
      <c r="F27" s="7">
        <v>92</v>
      </c>
      <c r="G27" s="7">
        <v>70</v>
      </c>
      <c r="H27" s="7">
        <v>123</v>
      </c>
      <c r="I27" s="7">
        <v>88</v>
      </c>
      <c r="J27" s="7">
        <v>69</v>
      </c>
      <c r="K27" s="7">
        <v>110</v>
      </c>
      <c r="L27" s="7">
        <v>103</v>
      </c>
      <c r="M27" s="7">
        <v>90</v>
      </c>
      <c r="N27" s="7">
        <v>108</v>
      </c>
      <c r="O27" s="7">
        <v>120</v>
      </c>
      <c r="P27" s="7">
        <v>128</v>
      </c>
      <c r="Q27" s="7">
        <v>163</v>
      </c>
      <c r="R27" s="7">
        <v>192</v>
      </c>
      <c r="S27" s="7">
        <v>141</v>
      </c>
      <c r="T27" s="7">
        <v>97</v>
      </c>
      <c r="U27" s="7">
        <v>112</v>
      </c>
      <c r="V27" s="7">
        <v>138</v>
      </c>
      <c r="W27" s="7">
        <v>102</v>
      </c>
      <c r="X27" s="7">
        <v>64</v>
      </c>
      <c r="Y27" s="7">
        <v>44</v>
      </c>
    </row>
    <row r="28" spans="2:25" ht="15.75" thickBot="1" x14ac:dyDescent="0.3">
      <c r="B28" s="6" t="s">
        <v>27</v>
      </c>
      <c r="C28" s="7">
        <v>1570</v>
      </c>
      <c r="D28" s="7">
        <v>918</v>
      </c>
      <c r="E28" s="7">
        <v>704</v>
      </c>
      <c r="F28" s="7">
        <v>658</v>
      </c>
      <c r="G28" s="7">
        <v>565</v>
      </c>
      <c r="H28" s="7">
        <v>646</v>
      </c>
      <c r="I28" s="7">
        <v>567</v>
      </c>
      <c r="J28" s="7">
        <v>416</v>
      </c>
      <c r="K28" s="7">
        <v>421</v>
      </c>
      <c r="L28" s="7">
        <v>387</v>
      </c>
      <c r="M28" s="7">
        <v>464</v>
      </c>
      <c r="N28" s="7">
        <v>324</v>
      </c>
      <c r="O28" s="7">
        <v>295</v>
      </c>
      <c r="P28" s="7">
        <v>324</v>
      </c>
      <c r="Q28" s="7">
        <v>443</v>
      </c>
      <c r="R28" s="7">
        <v>404</v>
      </c>
      <c r="S28" s="7">
        <v>318</v>
      </c>
      <c r="T28" s="7">
        <v>263</v>
      </c>
      <c r="U28" s="7">
        <v>173</v>
      </c>
      <c r="V28" s="7">
        <v>186</v>
      </c>
      <c r="W28" s="7">
        <v>144</v>
      </c>
      <c r="X28" s="7">
        <v>163</v>
      </c>
      <c r="Y28" s="7">
        <v>101</v>
      </c>
    </row>
    <row r="29" spans="2:25" ht="15.75" thickBot="1" x14ac:dyDescent="0.3">
      <c r="B29" s="6" t="s">
        <v>28</v>
      </c>
      <c r="C29" s="7">
        <v>1635</v>
      </c>
      <c r="D29" s="7">
        <v>1364</v>
      </c>
      <c r="E29" s="7">
        <v>1710</v>
      </c>
      <c r="F29" s="7">
        <v>2043</v>
      </c>
      <c r="G29" s="7">
        <v>1719</v>
      </c>
      <c r="H29" s="7">
        <v>1953</v>
      </c>
      <c r="I29" s="7">
        <v>1811</v>
      </c>
      <c r="J29" s="7">
        <v>1373</v>
      </c>
      <c r="K29" s="7">
        <v>1353</v>
      </c>
      <c r="L29" s="7">
        <v>1929</v>
      </c>
      <c r="M29" s="7">
        <v>2310</v>
      </c>
      <c r="N29" s="7">
        <v>1944</v>
      </c>
      <c r="O29" s="7">
        <v>2155</v>
      </c>
      <c r="P29" s="7">
        <v>3006</v>
      </c>
      <c r="Q29" s="7">
        <v>5135</v>
      </c>
      <c r="R29" s="7">
        <v>3919</v>
      </c>
      <c r="S29" s="7">
        <v>3328</v>
      </c>
      <c r="T29" s="7">
        <v>2440</v>
      </c>
      <c r="U29" s="7">
        <v>2377</v>
      </c>
      <c r="V29" s="7">
        <v>2551</v>
      </c>
      <c r="W29" s="7">
        <v>1574</v>
      </c>
      <c r="X29" s="7">
        <v>1224</v>
      </c>
      <c r="Y29" s="7">
        <v>813</v>
      </c>
    </row>
    <row r="30" spans="2:25" ht="15.75" thickBot="1" x14ac:dyDescent="0.3">
      <c r="B30" s="6" t="s">
        <v>29</v>
      </c>
      <c r="C30" s="7">
        <v>2273</v>
      </c>
      <c r="D30" s="7">
        <v>2351</v>
      </c>
      <c r="E30" s="7">
        <v>1820</v>
      </c>
      <c r="F30" s="7">
        <v>1652</v>
      </c>
      <c r="G30" s="7">
        <v>1082</v>
      </c>
      <c r="H30" s="7">
        <v>830</v>
      </c>
      <c r="I30" s="7">
        <v>1373</v>
      </c>
      <c r="J30" s="7">
        <v>1352</v>
      </c>
      <c r="K30" s="7">
        <v>1805</v>
      </c>
      <c r="L30" s="7">
        <v>2316</v>
      </c>
      <c r="M30" s="7">
        <v>4805</v>
      </c>
      <c r="N30" s="7">
        <v>4888</v>
      </c>
      <c r="O30" s="7">
        <v>5480</v>
      </c>
      <c r="P30" s="7">
        <v>4902</v>
      </c>
      <c r="Q30" s="7">
        <v>5532</v>
      </c>
      <c r="R30" s="7">
        <v>7048</v>
      </c>
      <c r="S30" s="7">
        <v>8362</v>
      </c>
      <c r="T30" s="7">
        <v>8188</v>
      </c>
      <c r="U30" s="7">
        <v>8342</v>
      </c>
      <c r="V30" s="7">
        <v>9791</v>
      </c>
      <c r="W30" s="7">
        <v>11078</v>
      </c>
      <c r="X30" s="7">
        <v>13802</v>
      </c>
      <c r="Y30" s="7">
        <v>13417</v>
      </c>
    </row>
    <row r="31" spans="2:25" ht="15.75" thickBot="1" x14ac:dyDescent="0.3">
      <c r="B31" s="10" t="s">
        <v>30</v>
      </c>
      <c r="C31" s="11">
        <v>27478</v>
      </c>
      <c r="D31" s="11">
        <v>22640</v>
      </c>
      <c r="E31" s="11">
        <v>18979</v>
      </c>
      <c r="F31" s="11">
        <v>19825</v>
      </c>
      <c r="G31" s="11">
        <v>18302</v>
      </c>
      <c r="H31" s="11">
        <v>19647</v>
      </c>
      <c r="I31" s="11">
        <v>21562</v>
      </c>
      <c r="J31" s="11">
        <v>21456</v>
      </c>
      <c r="K31" s="11">
        <v>30729</v>
      </c>
      <c r="L31" s="11">
        <v>31886</v>
      </c>
      <c r="M31" s="11">
        <v>32160</v>
      </c>
      <c r="N31" s="11">
        <v>31702</v>
      </c>
      <c r="O31" s="11">
        <v>35056</v>
      </c>
      <c r="P31" s="11">
        <v>39441</v>
      </c>
      <c r="Q31" s="11">
        <v>41760</v>
      </c>
      <c r="R31" s="11">
        <v>42583</v>
      </c>
      <c r="S31" s="11">
        <v>46199</v>
      </c>
      <c r="T31" s="11">
        <v>36395</v>
      </c>
      <c r="U31" s="11">
        <v>44562</v>
      </c>
      <c r="V31" s="11">
        <v>49658</v>
      </c>
      <c r="W31" s="11">
        <v>53297</v>
      </c>
      <c r="X31" s="11">
        <v>51138</v>
      </c>
      <c r="Y31" s="11">
        <v>44022</v>
      </c>
    </row>
    <row r="32" spans="2:25" ht="15.75" thickBot="1" x14ac:dyDescent="0.3">
      <c r="B32" s="6" t="s">
        <v>31</v>
      </c>
      <c r="C32" s="7">
        <v>15428</v>
      </c>
      <c r="D32" s="7">
        <v>12414</v>
      </c>
      <c r="E32" s="7">
        <v>9962</v>
      </c>
      <c r="F32" s="7">
        <v>9277</v>
      </c>
      <c r="G32" s="7">
        <v>8512</v>
      </c>
      <c r="H32" s="7">
        <v>8503</v>
      </c>
      <c r="I32" s="7">
        <v>8400</v>
      </c>
      <c r="J32" s="7">
        <v>8102</v>
      </c>
      <c r="K32" s="7">
        <v>10282</v>
      </c>
      <c r="L32" s="7">
        <v>9223</v>
      </c>
      <c r="M32" s="7">
        <v>8942</v>
      </c>
      <c r="N32" s="7">
        <v>7755</v>
      </c>
      <c r="O32" s="7">
        <v>7723</v>
      </c>
      <c r="P32" s="7">
        <v>8050</v>
      </c>
      <c r="Q32" s="7">
        <v>9750</v>
      </c>
      <c r="R32" s="7">
        <v>9850</v>
      </c>
      <c r="S32" s="7">
        <v>10496</v>
      </c>
      <c r="T32" s="7">
        <v>9256</v>
      </c>
      <c r="U32" s="7">
        <v>10535</v>
      </c>
      <c r="V32" s="7">
        <v>11119</v>
      </c>
      <c r="W32" s="7">
        <v>11562</v>
      </c>
      <c r="X32" s="7">
        <v>11381</v>
      </c>
      <c r="Y32" s="7">
        <v>9398</v>
      </c>
    </row>
    <row r="33" spans="2:25" ht="15.75" thickBot="1" x14ac:dyDescent="0.3">
      <c r="B33" s="6" t="s">
        <v>32</v>
      </c>
      <c r="C33" s="7">
        <v>12050</v>
      </c>
      <c r="D33" s="7">
        <v>10226</v>
      </c>
      <c r="E33" s="7">
        <v>9017</v>
      </c>
      <c r="F33" s="7">
        <v>10548</v>
      </c>
      <c r="G33" s="7">
        <v>9790</v>
      </c>
      <c r="H33" s="7">
        <v>11144</v>
      </c>
      <c r="I33" s="7">
        <v>13162</v>
      </c>
      <c r="J33" s="7">
        <v>13354</v>
      </c>
      <c r="K33" s="7">
        <v>20447</v>
      </c>
      <c r="L33" s="7">
        <v>22663</v>
      </c>
      <c r="M33" s="7">
        <v>23218</v>
      </c>
      <c r="N33" s="7">
        <v>23947</v>
      </c>
      <c r="O33" s="7">
        <v>27333</v>
      </c>
      <c r="P33" s="7">
        <v>31391</v>
      </c>
      <c r="Q33" s="7">
        <v>32010</v>
      </c>
      <c r="R33" s="7">
        <v>32733</v>
      </c>
      <c r="S33" s="7">
        <v>35703</v>
      </c>
      <c r="T33" s="7">
        <v>27139</v>
      </c>
      <c r="U33" s="7">
        <v>34027</v>
      </c>
      <c r="V33" s="7">
        <v>38539</v>
      </c>
      <c r="W33" s="7">
        <v>41735</v>
      </c>
      <c r="X33" s="7">
        <v>39757</v>
      </c>
      <c r="Y33" s="7">
        <v>34624</v>
      </c>
    </row>
    <row r="34" spans="2:25" ht="15.75" thickBot="1" x14ac:dyDescent="0.3">
      <c r="B34" s="10" t="s">
        <v>33</v>
      </c>
      <c r="C34" s="11">
        <v>215</v>
      </c>
      <c r="D34" s="11">
        <v>42</v>
      </c>
      <c r="E34" s="11">
        <v>68</v>
      </c>
      <c r="F34" s="11">
        <v>178</v>
      </c>
      <c r="G34" s="11">
        <v>133</v>
      </c>
      <c r="H34" s="11">
        <v>201</v>
      </c>
      <c r="I34" s="11">
        <v>209</v>
      </c>
      <c r="J34" s="11">
        <v>190</v>
      </c>
      <c r="K34" s="11">
        <v>233</v>
      </c>
      <c r="L34" s="11">
        <v>303</v>
      </c>
      <c r="M34" s="11">
        <v>341</v>
      </c>
      <c r="N34" s="11">
        <v>373</v>
      </c>
      <c r="O34" s="11">
        <v>344</v>
      </c>
      <c r="P34" s="11">
        <v>1624</v>
      </c>
      <c r="Q34" s="11">
        <v>1567</v>
      </c>
      <c r="R34" s="11">
        <v>1495</v>
      </c>
      <c r="S34" s="11">
        <v>1314</v>
      </c>
      <c r="T34" s="11">
        <v>1229</v>
      </c>
      <c r="U34" s="11">
        <v>1577</v>
      </c>
      <c r="V34" s="11">
        <v>1027</v>
      </c>
      <c r="W34" s="11">
        <v>1015</v>
      </c>
      <c r="X34" s="11">
        <v>1005</v>
      </c>
      <c r="Y34" s="11">
        <v>837</v>
      </c>
    </row>
    <row r="35" spans="2:25" ht="15.75" thickBot="1" x14ac:dyDescent="0.3">
      <c r="B35" s="6" t="s">
        <v>34</v>
      </c>
      <c r="C35" s="7">
        <v>194</v>
      </c>
      <c r="D35" s="7">
        <v>35</v>
      </c>
      <c r="E35" s="7">
        <v>58</v>
      </c>
      <c r="F35" s="7">
        <v>141</v>
      </c>
      <c r="G35" s="7">
        <v>98</v>
      </c>
      <c r="H35" s="7">
        <v>158</v>
      </c>
      <c r="I35" s="7">
        <v>159</v>
      </c>
      <c r="J35" s="7">
        <v>147</v>
      </c>
      <c r="K35" s="7">
        <v>186</v>
      </c>
      <c r="L35" s="7">
        <v>248</v>
      </c>
      <c r="M35" s="7">
        <v>284</v>
      </c>
      <c r="N35" s="7">
        <v>313</v>
      </c>
      <c r="O35" s="7">
        <v>295</v>
      </c>
      <c r="P35" s="7">
        <v>1369</v>
      </c>
      <c r="Q35" s="7">
        <v>1291</v>
      </c>
      <c r="R35" s="7">
        <v>1272</v>
      </c>
      <c r="S35" s="7">
        <v>1112</v>
      </c>
      <c r="T35" s="7">
        <v>1088</v>
      </c>
      <c r="U35" s="7">
        <v>1341</v>
      </c>
      <c r="V35" s="7">
        <v>885</v>
      </c>
      <c r="W35" s="7">
        <v>896</v>
      </c>
      <c r="X35" s="7">
        <v>883</v>
      </c>
      <c r="Y35" s="7">
        <v>703</v>
      </c>
    </row>
    <row r="36" spans="2:25" ht="15.75" thickBot="1" x14ac:dyDescent="0.3">
      <c r="B36" s="6" t="s">
        <v>35</v>
      </c>
      <c r="C36" s="7">
        <v>21</v>
      </c>
      <c r="D36" s="7">
        <v>7</v>
      </c>
      <c r="E36" s="7">
        <v>10</v>
      </c>
      <c r="F36" s="7">
        <v>37</v>
      </c>
      <c r="G36" s="7">
        <v>35</v>
      </c>
      <c r="H36" s="7">
        <v>43</v>
      </c>
      <c r="I36" s="7">
        <v>50</v>
      </c>
      <c r="J36" s="7">
        <v>43</v>
      </c>
      <c r="K36" s="7">
        <v>47</v>
      </c>
      <c r="L36" s="7">
        <v>55</v>
      </c>
      <c r="M36" s="7">
        <v>57</v>
      </c>
      <c r="N36" s="7">
        <v>60</v>
      </c>
      <c r="O36" s="7">
        <v>49</v>
      </c>
      <c r="P36" s="7">
        <v>255</v>
      </c>
      <c r="Q36" s="7">
        <v>276</v>
      </c>
      <c r="R36" s="7">
        <v>223</v>
      </c>
      <c r="S36" s="7">
        <v>202</v>
      </c>
      <c r="T36" s="7">
        <v>141</v>
      </c>
      <c r="U36" s="7">
        <v>236</v>
      </c>
      <c r="V36" s="7">
        <v>142</v>
      </c>
      <c r="W36" s="7">
        <v>119</v>
      </c>
      <c r="X36" s="7">
        <v>122</v>
      </c>
      <c r="Y36" s="7">
        <v>134</v>
      </c>
    </row>
    <row r="37" spans="2:25" ht="32.1" customHeight="1" thickBot="1" x14ac:dyDescent="0.3">
      <c r="B37" s="3" t="s">
        <v>36</v>
      </c>
      <c r="C37" s="9">
        <v>2003</v>
      </c>
      <c r="D37" s="9">
        <v>2004</v>
      </c>
      <c r="E37" s="9">
        <v>2005</v>
      </c>
      <c r="F37" s="9">
        <v>2006</v>
      </c>
      <c r="G37" s="9">
        <v>2007</v>
      </c>
      <c r="H37" s="9">
        <v>2008</v>
      </c>
      <c r="I37" s="9">
        <v>2009</v>
      </c>
      <c r="J37" s="9">
        <v>2010</v>
      </c>
      <c r="K37" s="9">
        <v>2011</v>
      </c>
      <c r="L37" s="9">
        <v>2012</v>
      </c>
      <c r="M37" s="9">
        <v>2013</v>
      </c>
      <c r="N37" s="9">
        <v>2014</v>
      </c>
      <c r="O37" s="9">
        <v>2015</v>
      </c>
      <c r="P37" s="9">
        <v>2016</v>
      </c>
      <c r="Q37" s="9">
        <v>2017</v>
      </c>
      <c r="R37" s="9">
        <v>2018</v>
      </c>
      <c r="S37" s="9">
        <v>2019</v>
      </c>
      <c r="T37" s="9">
        <v>2020</v>
      </c>
      <c r="U37" s="9">
        <v>2021</v>
      </c>
      <c r="V37" s="28">
        <v>2022</v>
      </c>
      <c r="W37" s="28">
        <v>2023</v>
      </c>
      <c r="X37" s="28">
        <v>2024</v>
      </c>
      <c r="Y37" s="28">
        <v>2025</v>
      </c>
    </row>
    <row r="38" spans="2:25" ht="16.5" thickTop="1" thickBot="1" x14ac:dyDescent="0.3">
      <c r="B38" s="6" t="s">
        <v>37</v>
      </c>
      <c r="C38" s="7">
        <v>11078</v>
      </c>
      <c r="D38" s="7">
        <v>11867</v>
      </c>
      <c r="E38" s="7">
        <v>13583</v>
      </c>
      <c r="F38" s="7">
        <v>20384</v>
      </c>
      <c r="G38" s="7">
        <v>20245</v>
      </c>
      <c r="H38" s="7">
        <v>21234</v>
      </c>
      <c r="I38" s="7">
        <v>24899</v>
      </c>
      <c r="J38" s="7">
        <v>23171</v>
      </c>
      <c r="K38" s="7">
        <v>27194</v>
      </c>
      <c r="L38" s="7">
        <v>32417</v>
      </c>
      <c r="M38" s="7">
        <v>33076</v>
      </c>
      <c r="N38" s="7">
        <v>48442</v>
      </c>
      <c r="O38" s="7">
        <v>75702</v>
      </c>
      <c r="P38" s="7">
        <v>97143</v>
      </c>
      <c r="Q38" s="7">
        <v>100524</v>
      </c>
      <c r="R38" s="7">
        <v>99914</v>
      </c>
      <c r="S38" s="7">
        <v>116523</v>
      </c>
      <c r="T38" s="7">
        <v>118776</v>
      </c>
      <c r="U38" s="7">
        <v>128231</v>
      </c>
      <c r="V38" s="7">
        <v>111786</v>
      </c>
      <c r="W38" s="7">
        <v>119466</v>
      </c>
      <c r="X38" s="7">
        <v>136033</v>
      </c>
      <c r="Y38" s="7">
        <v>138805</v>
      </c>
    </row>
    <row r="39" spans="2:25" ht="32.25" customHeight="1" thickBot="1" x14ac:dyDescent="0.3">
      <c r="B39" s="3" t="s">
        <v>38</v>
      </c>
      <c r="C39" s="9">
        <v>2003</v>
      </c>
      <c r="D39" s="9">
        <v>2004</v>
      </c>
      <c r="E39" s="9">
        <v>2005</v>
      </c>
      <c r="F39" s="9">
        <v>2006</v>
      </c>
      <c r="G39" s="9">
        <v>2007</v>
      </c>
      <c r="H39" s="9">
        <v>2008</v>
      </c>
      <c r="I39" s="9">
        <v>2009</v>
      </c>
      <c r="J39" s="9">
        <v>2010</v>
      </c>
      <c r="K39" s="9">
        <v>2011</v>
      </c>
      <c r="L39" s="9">
        <v>2012</v>
      </c>
      <c r="M39" s="9">
        <v>2013</v>
      </c>
      <c r="N39" s="9">
        <v>2014</v>
      </c>
      <c r="O39" s="9">
        <v>2015</v>
      </c>
      <c r="P39" s="9">
        <v>2016</v>
      </c>
      <c r="Q39" s="9">
        <v>2017</v>
      </c>
      <c r="R39" s="9">
        <v>2018</v>
      </c>
      <c r="S39" s="9">
        <v>2019</v>
      </c>
      <c r="T39" s="9">
        <v>2020</v>
      </c>
      <c r="U39" s="9">
        <v>2021</v>
      </c>
      <c r="V39" s="28">
        <v>2022</v>
      </c>
      <c r="W39" s="28">
        <v>2023</v>
      </c>
      <c r="X39" s="28">
        <v>2024</v>
      </c>
      <c r="Y39" s="28">
        <v>2025</v>
      </c>
    </row>
    <row r="40" spans="2:25" ht="16.5" thickTop="1" thickBot="1" x14ac:dyDescent="0.3">
      <c r="B40" s="6" t="s">
        <v>39</v>
      </c>
      <c r="C40" s="7">
        <v>0</v>
      </c>
      <c r="D40" s="7">
        <v>0</v>
      </c>
      <c r="E40" s="7">
        <v>0</v>
      </c>
      <c r="F40" s="7">
        <v>2</v>
      </c>
      <c r="G40" s="7">
        <v>0</v>
      </c>
      <c r="H40" s="7">
        <v>1</v>
      </c>
      <c r="I40" s="7">
        <v>471</v>
      </c>
      <c r="J40" s="7">
        <v>844</v>
      </c>
      <c r="K40" s="7">
        <v>1564</v>
      </c>
      <c r="L40" s="7">
        <v>3180</v>
      </c>
      <c r="M40" s="7">
        <v>4629</v>
      </c>
      <c r="N40" s="7">
        <v>3676</v>
      </c>
      <c r="O40" s="7">
        <v>7404</v>
      </c>
      <c r="P40" s="7">
        <v>8651</v>
      </c>
      <c r="Q40" s="7">
        <v>15057</v>
      </c>
      <c r="R40" s="7">
        <v>21279</v>
      </c>
      <c r="S40" s="7">
        <v>22092</v>
      </c>
      <c r="T40" s="7">
        <v>49359</v>
      </c>
      <c r="U40" s="7">
        <v>52224</v>
      </c>
      <c r="V40" s="7">
        <v>61993</v>
      </c>
      <c r="W40" s="7">
        <v>63249</v>
      </c>
      <c r="X40" s="7">
        <v>74845</v>
      </c>
      <c r="Y40" s="7">
        <v>69328</v>
      </c>
    </row>
    <row r="41" spans="2:25" ht="32.1" customHeight="1" thickBot="1" x14ac:dyDescent="0.3">
      <c r="B41" s="3" t="s">
        <v>40</v>
      </c>
      <c r="C41" s="9">
        <v>2003</v>
      </c>
      <c r="D41" s="9">
        <v>2004</v>
      </c>
      <c r="E41" s="9">
        <v>2005</v>
      </c>
      <c r="F41" s="9">
        <v>2006</v>
      </c>
      <c r="G41" s="9">
        <v>2007</v>
      </c>
      <c r="H41" s="9">
        <v>2008</v>
      </c>
      <c r="I41" s="9">
        <v>2009</v>
      </c>
      <c r="J41" s="9">
        <v>2010</v>
      </c>
      <c r="K41" s="9">
        <v>2011</v>
      </c>
      <c r="L41" s="9">
        <v>2012</v>
      </c>
      <c r="M41" s="9">
        <v>2013</v>
      </c>
      <c r="N41" s="9">
        <v>2014</v>
      </c>
      <c r="O41" s="9">
        <v>2015</v>
      </c>
      <c r="P41" s="9">
        <v>2016</v>
      </c>
      <c r="Q41" s="9">
        <v>2017</v>
      </c>
      <c r="R41" s="9">
        <v>2018</v>
      </c>
      <c r="S41" s="9">
        <v>2019</v>
      </c>
      <c r="T41" s="9">
        <v>2020</v>
      </c>
      <c r="U41" s="9">
        <v>2021</v>
      </c>
      <c r="V41" s="28">
        <v>2022</v>
      </c>
      <c r="W41" s="28">
        <v>2023</v>
      </c>
      <c r="X41" s="28">
        <v>2024</v>
      </c>
      <c r="Y41" s="28">
        <v>2025</v>
      </c>
    </row>
    <row r="42" spans="2:25" ht="16.5" thickTop="1" thickBot="1" x14ac:dyDescent="0.3">
      <c r="B42" s="6" t="s">
        <v>41</v>
      </c>
      <c r="C42" s="7">
        <v>1473</v>
      </c>
      <c r="D42" s="7">
        <v>2370</v>
      </c>
      <c r="E42" s="7">
        <v>3406</v>
      </c>
      <c r="F42" s="7">
        <v>4803</v>
      </c>
      <c r="G42" s="7">
        <v>4566</v>
      </c>
      <c r="H42" s="7">
        <v>5275</v>
      </c>
      <c r="I42" s="7">
        <v>5000</v>
      </c>
      <c r="J42" s="7">
        <v>3391</v>
      </c>
      <c r="K42" s="7">
        <v>1904</v>
      </c>
      <c r="L42" s="7">
        <v>4511</v>
      </c>
      <c r="M42" s="7">
        <v>4573</v>
      </c>
      <c r="N42" s="7">
        <v>2506</v>
      </c>
      <c r="O42" s="7">
        <v>3192</v>
      </c>
      <c r="P42" s="7">
        <v>5102</v>
      </c>
      <c r="Q42" s="7">
        <v>4828</v>
      </c>
      <c r="R42" s="7">
        <v>4900</v>
      </c>
      <c r="S42" s="7">
        <v>4389</v>
      </c>
      <c r="T42" s="7">
        <v>3988</v>
      </c>
      <c r="U42" s="7">
        <v>3357</v>
      </c>
      <c r="V42" s="7">
        <v>2502</v>
      </c>
      <c r="W42" s="7">
        <v>3088</v>
      </c>
      <c r="X42" s="7">
        <v>2540</v>
      </c>
      <c r="Y42" s="7">
        <v>2510</v>
      </c>
    </row>
    <row r="43" spans="2:25" ht="15.75" thickBot="1" x14ac:dyDescent="0.3">
      <c r="C43" s="12"/>
      <c r="Q43" s="12"/>
      <c r="R43" s="12"/>
      <c r="S43" s="12"/>
      <c r="T43" s="12"/>
    </row>
    <row r="44" spans="2:25" ht="25.5" customHeight="1" x14ac:dyDescent="0.25">
      <c r="B44" s="46" t="s">
        <v>42</v>
      </c>
      <c r="C44" s="46"/>
      <c r="D44" s="46"/>
      <c r="E44" s="46"/>
      <c r="F44" s="13"/>
      <c r="G44" s="52"/>
      <c r="H44" s="52"/>
      <c r="I44" s="52"/>
      <c r="J44" s="52"/>
      <c r="K44" s="52"/>
      <c r="L44" s="52"/>
      <c r="M44" s="52"/>
      <c r="N44" s="52"/>
      <c r="O44" s="52"/>
      <c r="P44" s="52"/>
      <c r="Q44" s="52"/>
      <c r="R44" s="52"/>
      <c r="S44" s="52"/>
      <c r="T44" s="52"/>
      <c r="U44" s="52"/>
      <c r="V44" s="52"/>
      <c r="W44" s="52"/>
    </row>
    <row r="45" spans="2:25" ht="15" customHeight="1" x14ac:dyDescent="0.25">
      <c r="B45" s="47"/>
      <c r="C45" s="47"/>
      <c r="D45" s="47"/>
      <c r="E45" s="47"/>
      <c r="F45" s="13"/>
      <c r="G45" s="52"/>
      <c r="H45" s="52"/>
      <c r="I45" s="52"/>
      <c r="J45" s="52"/>
      <c r="K45" s="52"/>
      <c r="L45" s="52"/>
      <c r="M45" s="52"/>
      <c r="N45" s="52"/>
      <c r="O45" s="52"/>
      <c r="P45" s="52"/>
      <c r="Q45" s="52"/>
      <c r="R45" s="52"/>
      <c r="S45" s="52"/>
      <c r="T45" s="52"/>
      <c r="U45" s="52"/>
      <c r="V45" s="52"/>
      <c r="W45" s="52"/>
    </row>
    <row r="46" spans="2:25" ht="15" customHeight="1" x14ac:dyDescent="0.25">
      <c r="B46" s="14" t="s">
        <v>43</v>
      </c>
      <c r="C46" s="15"/>
      <c r="D46" s="13"/>
      <c r="E46" s="13"/>
      <c r="F46" s="13"/>
      <c r="G46" s="52"/>
      <c r="H46" s="52"/>
      <c r="I46" s="52"/>
      <c r="J46" s="52"/>
      <c r="K46" s="52"/>
      <c r="L46" s="52"/>
      <c r="M46" s="52"/>
      <c r="N46" s="52"/>
      <c r="O46" s="52"/>
      <c r="P46" s="52"/>
      <c r="Q46" s="52"/>
      <c r="R46" s="52"/>
      <c r="S46" s="52"/>
      <c r="T46" s="52"/>
      <c r="U46" s="52"/>
      <c r="V46" s="52"/>
      <c r="W46" s="52"/>
    </row>
    <row r="47" spans="2:25" x14ac:dyDescent="0.25">
      <c r="B47" s="16"/>
      <c r="C47" s="15"/>
      <c r="D47" s="13"/>
      <c r="E47" s="13"/>
      <c r="F47" s="13"/>
      <c r="G47" s="52"/>
      <c r="H47" s="52"/>
      <c r="I47" s="52"/>
      <c r="J47" s="52"/>
      <c r="K47" s="52"/>
      <c r="L47" s="52"/>
      <c r="M47" s="52"/>
      <c r="N47" s="52"/>
      <c r="O47" s="52"/>
      <c r="P47" s="52"/>
      <c r="Q47" s="52"/>
      <c r="R47" s="52"/>
      <c r="S47" s="52"/>
      <c r="T47" s="52"/>
      <c r="U47" s="52"/>
      <c r="V47" s="52"/>
      <c r="W47" s="52"/>
    </row>
    <row r="48" spans="2:25" ht="21.75" customHeight="1" x14ac:dyDescent="0.25">
      <c r="B48" s="13"/>
      <c r="C48" s="13"/>
      <c r="D48" s="13"/>
      <c r="E48" s="13"/>
      <c r="F48" s="13"/>
      <c r="G48" s="52"/>
      <c r="H48" s="52"/>
      <c r="I48" s="52"/>
      <c r="J48" s="52"/>
      <c r="K48" s="52"/>
      <c r="L48" s="52"/>
      <c r="M48" s="52"/>
      <c r="N48" s="52"/>
      <c r="O48" s="52"/>
      <c r="P48" s="52"/>
      <c r="Q48" s="52"/>
      <c r="R48" s="52"/>
      <c r="S48" s="52"/>
      <c r="T48" s="52"/>
      <c r="U48" s="52"/>
      <c r="V48" s="52"/>
      <c r="W48" s="52"/>
    </row>
    <row r="49" spans="2:25" ht="17.25" x14ac:dyDescent="0.3">
      <c r="B49" s="41" t="s">
        <v>0</v>
      </c>
      <c r="C49" s="41"/>
      <c r="D49" s="41"/>
      <c r="E49" s="41"/>
      <c r="F49" s="41"/>
      <c r="G49" s="41"/>
      <c r="H49" s="41"/>
      <c r="I49" s="41"/>
      <c r="J49" s="41"/>
      <c r="K49" s="41"/>
      <c r="L49" s="41"/>
      <c r="M49" s="41"/>
      <c r="N49" s="41"/>
      <c r="O49" s="41"/>
      <c r="P49" s="41"/>
      <c r="Q49" s="41"/>
      <c r="R49" s="41"/>
      <c r="S49" s="41"/>
      <c r="T49" s="41"/>
    </row>
    <row r="50" spans="2:25" ht="17.25" x14ac:dyDescent="0.3">
      <c r="B50" s="41" t="s">
        <v>1</v>
      </c>
      <c r="C50" s="41"/>
      <c r="D50" s="41"/>
      <c r="E50" s="41"/>
      <c r="F50" s="41"/>
      <c r="G50" s="41"/>
      <c r="H50" s="41"/>
      <c r="I50" s="41"/>
      <c r="J50" s="41"/>
      <c r="K50" s="41"/>
      <c r="L50" s="41"/>
      <c r="M50" s="41"/>
      <c r="N50" s="41"/>
      <c r="O50" s="41"/>
      <c r="P50" s="41"/>
      <c r="Q50" s="41"/>
      <c r="R50" s="41"/>
      <c r="S50" s="41"/>
      <c r="T50" s="41"/>
    </row>
    <row r="51" spans="2:25" ht="17.25" x14ac:dyDescent="0.3">
      <c r="B51" s="42" t="s">
        <v>2</v>
      </c>
      <c r="C51" s="42"/>
      <c r="D51" s="42"/>
      <c r="E51" s="42"/>
      <c r="F51" s="42"/>
      <c r="G51" s="42"/>
      <c r="H51" s="42"/>
      <c r="I51" s="42"/>
      <c r="J51" s="42"/>
      <c r="K51" s="42"/>
      <c r="L51" s="42"/>
      <c r="M51" s="42"/>
      <c r="N51" s="42"/>
      <c r="O51" s="42"/>
      <c r="P51" s="42"/>
      <c r="Q51" s="42"/>
      <c r="R51" s="42"/>
      <c r="S51" s="42"/>
      <c r="T51" s="42"/>
    </row>
    <row r="52" spans="2:25" ht="18" thickBot="1" x14ac:dyDescent="0.35">
      <c r="B52" s="42" t="s">
        <v>99</v>
      </c>
      <c r="C52" s="42"/>
      <c r="D52" s="42"/>
      <c r="E52" s="42"/>
      <c r="F52" s="42"/>
      <c r="G52" s="42"/>
      <c r="H52" s="42"/>
      <c r="I52" s="42"/>
      <c r="J52" s="42"/>
      <c r="K52" s="42"/>
      <c r="L52" s="42"/>
      <c r="M52" s="42"/>
      <c r="N52" s="42"/>
      <c r="O52" s="42"/>
      <c r="P52" s="42"/>
      <c r="Q52" s="42"/>
      <c r="R52" s="42"/>
      <c r="S52" s="42"/>
      <c r="T52" s="42"/>
    </row>
    <row r="53" spans="2:25" ht="32.1" customHeight="1" thickBot="1" x14ac:dyDescent="0.3">
      <c r="B53" s="3" t="s">
        <v>44</v>
      </c>
      <c r="C53" s="9">
        <v>2003</v>
      </c>
      <c r="D53" s="9">
        <v>2004</v>
      </c>
      <c r="E53" s="9">
        <v>2005</v>
      </c>
      <c r="F53" s="9">
        <v>2006</v>
      </c>
      <c r="G53" s="9">
        <v>2007</v>
      </c>
      <c r="H53" s="9">
        <v>2008</v>
      </c>
      <c r="I53" s="9">
        <v>2009</v>
      </c>
      <c r="J53" s="9">
        <v>2010</v>
      </c>
      <c r="K53" s="9">
        <v>2011</v>
      </c>
      <c r="L53" s="9">
        <v>2012</v>
      </c>
      <c r="M53" s="9">
        <v>2013</v>
      </c>
      <c r="N53" s="9">
        <v>2014</v>
      </c>
      <c r="O53" s="9">
        <v>2015</v>
      </c>
      <c r="P53" s="9">
        <v>2016</v>
      </c>
      <c r="Q53" s="9">
        <v>2017</v>
      </c>
      <c r="R53" s="9">
        <v>2018</v>
      </c>
      <c r="S53" s="9">
        <v>2019</v>
      </c>
      <c r="T53" s="9">
        <v>2020</v>
      </c>
      <c r="U53" s="9">
        <v>2021</v>
      </c>
      <c r="V53" s="28">
        <v>2022</v>
      </c>
      <c r="W53" s="28">
        <v>2023</v>
      </c>
      <c r="X53" s="28">
        <v>2024</v>
      </c>
      <c r="Y53" s="28">
        <v>2025</v>
      </c>
    </row>
    <row r="54" spans="2:25" ht="16.5" thickTop="1" thickBot="1" x14ac:dyDescent="0.3">
      <c r="B54" s="10" t="s">
        <v>45</v>
      </c>
      <c r="C54" s="11">
        <v>970</v>
      </c>
      <c r="D54" s="11">
        <v>489</v>
      </c>
      <c r="E54" s="11">
        <v>486</v>
      </c>
      <c r="F54" s="11">
        <v>528</v>
      </c>
      <c r="G54" s="11">
        <v>318</v>
      </c>
      <c r="H54" s="11">
        <v>348</v>
      </c>
      <c r="I54" s="11">
        <v>314</v>
      </c>
      <c r="J54" s="11">
        <v>295</v>
      </c>
      <c r="K54" s="11">
        <v>411</v>
      </c>
      <c r="L54" s="11">
        <v>666</v>
      </c>
      <c r="M54" s="11">
        <v>705</v>
      </c>
      <c r="N54" s="11">
        <v>612</v>
      </c>
      <c r="O54" s="11">
        <v>374</v>
      </c>
      <c r="P54" s="11">
        <v>824</v>
      </c>
      <c r="Q54" s="11">
        <v>699</v>
      </c>
      <c r="R54" s="11">
        <v>780</v>
      </c>
      <c r="S54" s="11">
        <v>735</v>
      </c>
      <c r="T54" s="11">
        <v>427</v>
      </c>
      <c r="U54" s="11">
        <v>635</v>
      </c>
      <c r="V54" s="11">
        <v>742</v>
      </c>
      <c r="W54" s="11">
        <v>839</v>
      </c>
      <c r="X54" s="11">
        <v>1126</v>
      </c>
      <c r="Y54" s="11">
        <v>1398</v>
      </c>
    </row>
    <row r="55" spans="2:25" ht="15.75" thickBot="1" x14ac:dyDescent="0.3">
      <c r="B55" s="6" t="s">
        <v>46</v>
      </c>
      <c r="C55" s="7">
        <v>29</v>
      </c>
      <c r="D55" s="7">
        <v>20</v>
      </c>
      <c r="E55" s="7">
        <v>13</v>
      </c>
      <c r="F55" s="7">
        <v>5</v>
      </c>
      <c r="G55" s="7">
        <v>7</v>
      </c>
      <c r="H55" s="7">
        <v>16</v>
      </c>
      <c r="I55" s="7">
        <v>17</v>
      </c>
      <c r="J55" s="7">
        <v>8</v>
      </c>
      <c r="K55" s="7">
        <v>45</v>
      </c>
      <c r="L55" s="7">
        <v>38</v>
      </c>
      <c r="M55" s="7">
        <v>43</v>
      </c>
      <c r="N55" s="7">
        <v>29</v>
      </c>
      <c r="O55" s="7">
        <v>43</v>
      </c>
      <c r="P55" s="7">
        <v>204</v>
      </c>
      <c r="Q55" s="7">
        <v>149</v>
      </c>
      <c r="R55" s="7">
        <v>109</v>
      </c>
      <c r="S55" s="7">
        <v>109</v>
      </c>
      <c r="T55" s="7">
        <v>127</v>
      </c>
      <c r="U55" s="7">
        <v>138</v>
      </c>
      <c r="V55" s="7">
        <v>151</v>
      </c>
      <c r="W55" s="7">
        <v>326</v>
      </c>
      <c r="X55" s="7">
        <v>582</v>
      </c>
      <c r="Y55" s="7">
        <v>720</v>
      </c>
    </row>
    <row r="56" spans="2:25" ht="15.75" thickBot="1" x14ac:dyDescent="0.3">
      <c r="B56" s="6" t="s">
        <v>47</v>
      </c>
      <c r="C56" s="7">
        <v>941</v>
      </c>
      <c r="D56" s="7">
        <v>469</v>
      </c>
      <c r="E56" s="7">
        <v>473</v>
      </c>
      <c r="F56" s="7">
        <v>523</v>
      </c>
      <c r="G56" s="7">
        <v>311</v>
      </c>
      <c r="H56" s="7">
        <v>332</v>
      </c>
      <c r="I56" s="7">
        <v>297</v>
      </c>
      <c r="J56" s="7">
        <v>287</v>
      </c>
      <c r="K56" s="7">
        <v>366</v>
      </c>
      <c r="L56" s="7">
        <v>628</v>
      </c>
      <c r="M56" s="7">
        <v>662</v>
      </c>
      <c r="N56" s="7">
        <v>583</v>
      </c>
      <c r="O56" s="7">
        <v>331</v>
      </c>
      <c r="P56" s="7">
        <v>620</v>
      </c>
      <c r="Q56" s="7">
        <v>550</v>
      </c>
      <c r="R56" s="7">
        <v>671</v>
      </c>
      <c r="S56" s="7">
        <v>626</v>
      </c>
      <c r="T56" s="7">
        <v>300</v>
      </c>
      <c r="U56" s="7">
        <v>497</v>
      </c>
      <c r="V56" s="7">
        <v>591</v>
      </c>
      <c r="W56" s="7">
        <v>513</v>
      </c>
      <c r="X56" s="7">
        <v>544</v>
      </c>
      <c r="Y56" s="7">
        <v>678</v>
      </c>
    </row>
    <row r="57" spans="2:25" ht="15.75" thickBot="1" x14ac:dyDescent="0.3">
      <c r="B57" s="29" t="s">
        <v>48</v>
      </c>
      <c r="C57" s="7"/>
      <c r="D57" s="7"/>
      <c r="E57" s="7"/>
      <c r="F57" s="7"/>
      <c r="G57" s="7"/>
      <c r="H57" s="7"/>
      <c r="I57" s="7"/>
      <c r="J57" s="7"/>
      <c r="K57" s="7"/>
      <c r="L57" s="7"/>
      <c r="M57" s="7"/>
      <c r="N57" s="7"/>
      <c r="O57" s="7"/>
      <c r="P57" s="7"/>
      <c r="Q57" s="7"/>
      <c r="R57" s="7"/>
      <c r="S57" s="7"/>
      <c r="T57" s="7"/>
      <c r="U57" s="7"/>
      <c r="V57" s="7">
        <v>245</v>
      </c>
      <c r="W57" s="7">
        <v>391</v>
      </c>
      <c r="X57" s="7">
        <v>429</v>
      </c>
      <c r="Y57" s="7">
        <v>450</v>
      </c>
    </row>
    <row r="58" spans="2:25" ht="15.75" thickBot="1" x14ac:dyDescent="0.3">
      <c r="B58" s="10" t="s">
        <v>49</v>
      </c>
      <c r="C58" s="11">
        <v>248</v>
      </c>
      <c r="D58" s="11">
        <v>143</v>
      </c>
      <c r="E58" s="11">
        <v>96</v>
      </c>
      <c r="F58" s="11">
        <v>127</v>
      </c>
      <c r="G58" s="11">
        <v>106</v>
      </c>
      <c r="H58" s="11">
        <v>122</v>
      </c>
      <c r="I58" s="11">
        <v>104</v>
      </c>
      <c r="J58" s="11">
        <v>83</v>
      </c>
      <c r="K58" s="11">
        <v>123</v>
      </c>
      <c r="L58" s="11">
        <v>238</v>
      </c>
      <c r="M58" s="11">
        <v>297</v>
      </c>
      <c r="N58" s="11">
        <v>171</v>
      </c>
      <c r="O58" s="11">
        <v>97</v>
      </c>
      <c r="P58" s="11">
        <v>55</v>
      </c>
      <c r="Q58" s="11">
        <v>67</v>
      </c>
      <c r="R58" s="11">
        <v>113</v>
      </c>
      <c r="S58" s="11">
        <v>76</v>
      </c>
      <c r="T58" s="11">
        <v>142</v>
      </c>
      <c r="U58" s="11">
        <v>34</v>
      </c>
      <c r="V58" s="11">
        <v>73</v>
      </c>
      <c r="W58" s="11">
        <v>52</v>
      </c>
      <c r="X58" s="11">
        <v>85</v>
      </c>
      <c r="Y58" s="11">
        <v>56</v>
      </c>
    </row>
    <row r="59" spans="2:25" ht="15.75" thickBot="1" x14ac:dyDescent="0.3">
      <c r="B59" s="6" t="s">
        <v>50</v>
      </c>
      <c r="C59" s="7">
        <v>0</v>
      </c>
      <c r="D59" s="7">
        <v>0</v>
      </c>
      <c r="E59" s="7">
        <v>0</v>
      </c>
      <c r="F59" s="7">
        <v>0</v>
      </c>
      <c r="G59" s="7">
        <v>53</v>
      </c>
      <c r="H59" s="7">
        <v>32</v>
      </c>
      <c r="I59" s="7">
        <v>32</v>
      </c>
      <c r="J59" s="7">
        <v>31</v>
      </c>
      <c r="K59" s="7">
        <v>84</v>
      </c>
      <c r="L59" s="7">
        <v>151</v>
      </c>
      <c r="M59" s="7">
        <v>259</v>
      </c>
      <c r="N59" s="7">
        <v>141</v>
      </c>
      <c r="O59" s="7">
        <v>80</v>
      </c>
      <c r="P59" s="7">
        <v>49</v>
      </c>
      <c r="Q59" s="7">
        <v>63</v>
      </c>
      <c r="R59" s="7">
        <v>107</v>
      </c>
      <c r="S59" s="7">
        <v>71</v>
      </c>
      <c r="T59" s="7">
        <v>49</v>
      </c>
      <c r="U59" s="7">
        <v>31</v>
      </c>
      <c r="V59" s="7">
        <v>20</v>
      </c>
      <c r="W59" s="7">
        <v>37</v>
      </c>
      <c r="X59" s="7">
        <v>43</v>
      </c>
      <c r="Y59" s="7">
        <v>31</v>
      </c>
    </row>
    <row r="60" spans="2:25" ht="15.75" thickBot="1" x14ac:dyDescent="0.3">
      <c r="B60" s="6" t="s">
        <v>51</v>
      </c>
      <c r="C60" s="7">
        <v>207</v>
      </c>
      <c r="D60" s="7">
        <v>136</v>
      </c>
      <c r="E60" s="7">
        <v>80</v>
      </c>
      <c r="F60" s="7">
        <v>119</v>
      </c>
      <c r="G60" s="7">
        <v>53</v>
      </c>
      <c r="H60" s="7">
        <v>87</v>
      </c>
      <c r="I60" s="7">
        <v>71</v>
      </c>
      <c r="J60" s="7">
        <v>51</v>
      </c>
      <c r="K60" s="7">
        <v>38</v>
      </c>
      <c r="L60" s="7">
        <v>81</v>
      </c>
      <c r="M60" s="7">
        <v>33</v>
      </c>
      <c r="N60" s="7">
        <v>26</v>
      </c>
      <c r="O60" s="7">
        <v>16</v>
      </c>
      <c r="P60" s="7">
        <v>5</v>
      </c>
      <c r="Q60" s="7">
        <v>4</v>
      </c>
      <c r="R60" s="7">
        <v>3</v>
      </c>
      <c r="S60" s="7">
        <v>5</v>
      </c>
      <c r="T60" s="7">
        <v>93</v>
      </c>
      <c r="U60" s="7">
        <v>2</v>
      </c>
      <c r="V60" s="7">
        <v>52</v>
      </c>
      <c r="W60" s="7">
        <v>15</v>
      </c>
      <c r="X60" s="7">
        <v>42</v>
      </c>
      <c r="Y60" s="7">
        <v>25</v>
      </c>
    </row>
    <row r="61" spans="2:25" ht="15.75" thickBot="1" x14ac:dyDescent="0.3">
      <c r="B61" s="6" t="s">
        <v>52</v>
      </c>
      <c r="C61" s="7">
        <v>41</v>
      </c>
      <c r="D61" s="7">
        <v>7</v>
      </c>
      <c r="E61" s="7">
        <v>16</v>
      </c>
      <c r="F61" s="7">
        <v>8</v>
      </c>
      <c r="G61" s="7">
        <v>0</v>
      </c>
      <c r="H61" s="7">
        <v>3</v>
      </c>
      <c r="I61" s="7">
        <v>1</v>
      </c>
      <c r="J61" s="7">
        <v>1</v>
      </c>
      <c r="K61" s="7">
        <v>1</v>
      </c>
      <c r="L61" s="7">
        <v>6</v>
      </c>
      <c r="M61" s="7">
        <v>5</v>
      </c>
      <c r="N61" s="7">
        <v>4</v>
      </c>
      <c r="O61" s="7">
        <v>1</v>
      </c>
      <c r="P61" s="7">
        <v>1</v>
      </c>
      <c r="Q61" s="7">
        <v>0</v>
      </c>
      <c r="R61" s="7">
        <v>3</v>
      </c>
      <c r="S61" s="7">
        <v>0</v>
      </c>
      <c r="T61" s="7">
        <v>0</v>
      </c>
      <c r="U61" s="7">
        <v>1</v>
      </c>
      <c r="V61" s="7">
        <v>1</v>
      </c>
      <c r="W61" s="7">
        <v>0</v>
      </c>
      <c r="X61" s="7">
        <v>0</v>
      </c>
      <c r="Y61" s="7">
        <v>0</v>
      </c>
    </row>
    <row r="62" spans="2:25" ht="18" thickBot="1" x14ac:dyDescent="0.35">
      <c r="B62" s="2" t="s">
        <v>53</v>
      </c>
      <c r="C62" s="17"/>
      <c r="D62" s="18"/>
      <c r="E62" s="18"/>
      <c r="F62" s="18"/>
      <c r="G62" s="18"/>
      <c r="H62" s="18"/>
      <c r="I62" s="18"/>
      <c r="J62" s="18"/>
      <c r="K62" s="18"/>
      <c r="L62" s="18"/>
      <c r="M62" s="18"/>
      <c r="N62" s="18"/>
      <c r="O62" s="18"/>
      <c r="P62" s="18"/>
      <c r="Q62" s="18"/>
      <c r="R62" s="18"/>
      <c r="S62" s="18"/>
      <c r="T62" s="18"/>
    </row>
    <row r="63" spans="2:25" ht="32.1" customHeight="1" thickBot="1" x14ac:dyDescent="0.3">
      <c r="B63" s="3" t="s">
        <v>54</v>
      </c>
      <c r="C63" s="9">
        <v>2003</v>
      </c>
      <c r="D63" s="9">
        <v>2004</v>
      </c>
      <c r="E63" s="9">
        <v>2005</v>
      </c>
      <c r="F63" s="9">
        <v>2006</v>
      </c>
      <c r="G63" s="9">
        <v>2007</v>
      </c>
      <c r="H63" s="9">
        <v>2008</v>
      </c>
      <c r="I63" s="9">
        <v>2009</v>
      </c>
      <c r="J63" s="9">
        <v>2010</v>
      </c>
      <c r="K63" s="9">
        <v>2011</v>
      </c>
      <c r="L63" s="9">
        <v>2012</v>
      </c>
      <c r="M63" s="9">
        <v>2013</v>
      </c>
      <c r="N63" s="9">
        <v>2014</v>
      </c>
      <c r="O63" s="9">
        <v>2015</v>
      </c>
      <c r="P63" s="9">
        <v>2016</v>
      </c>
      <c r="Q63" s="9">
        <v>2017</v>
      </c>
      <c r="R63" s="9">
        <v>2018</v>
      </c>
      <c r="S63" s="9">
        <v>2019</v>
      </c>
      <c r="T63" s="9">
        <v>2020</v>
      </c>
      <c r="U63" s="9">
        <v>2021</v>
      </c>
      <c r="V63" s="28">
        <v>2022</v>
      </c>
      <c r="W63" s="28">
        <v>2023</v>
      </c>
      <c r="X63" s="28">
        <v>2024</v>
      </c>
      <c r="Y63" s="28">
        <v>2025</v>
      </c>
    </row>
    <row r="64" spans="2:25" ht="16.5" thickTop="1" thickBot="1" x14ac:dyDescent="0.3">
      <c r="B64" s="10" t="s">
        <v>55</v>
      </c>
      <c r="C64" s="11"/>
      <c r="D64" s="11"/>
      <c r="E64" s="11"/>
      <c r="F64" s="11"/>
      <c r="G64" s="11"/>
      <c r="H64" s="11"/>
      <c r="I64" s="11"/>
      <c r="J64" s="11">
        <v>489</v>
      </c>
      <c r="K64" s="11">
        <v>517</v>
      </c>
      <c r="L64" s="11">
        <v>377</v>
      </c>
      <c r="M64" s="11">
        <v>361</v>
      </c>
      <c r="N64" s="11">
        <v>289</v>
      </c>
      <c r="O64" s="11">
        <v>177</v>
      </c>
      <c r="P64" s="11">
        <v>115</v>
      </c>
      <c r="Q64" s="11">
        <v>83</v>
      </c>
      <c r="R64" s="11">
        <v>94</v>
      </c>
      <c r="S64" s="11">
        <v>101</v>
      </c>
      <c r="T64" s="11">
        <v>94</v>
      </c>
      <c r="U64" s="11">
        <v>148</v>
      </c>
      <c r="V64" s="11">
        <v>130</v>
      </c>
      <c r="W64" s="11">
        <v>84</v>
      </c>
      <c r="X64" s="11">
        <v>101</v>
      </c>
      <c r="Y64" s="11">
        <v>174</v>
      </c>
    </row>
    <row r="65" spans="2:25" ht="15.75" thickBot="1" x14ac:dyDescent="0.3">
      <c r="B65" s="6" t="s">
        <v>56</v>
      </c>
      <c r="C65" s="7"/>
      <c r="D65" s="7"/>
      <c r="E65" s="7"/>
      <c r="F65" s="7"/>
      <c r="G65" s="7"/>
      <c r="H65" s="7"/>
      <c r="I65" s="7"/>
      <c r="J65" s="7">
        <v>322</v>
      </c>
      <c r="K65" s="7">
        <v>258</v>
      </c>
      <c r="L65" s="7">
        <v>245</v>
      </c>
      <c r="M65" s="7">
        <v>291</v>
      </c>
      <c r="N65" s="7">
        <v>178</v>
      </c>
      <c r="O65" s="7">
        <v>110</v>
      </c>
      <c r="P65" s="7">
        <v>46</v>
      </c>
      <c r="Q65" s="7">
        <v>23</v>
      </c>
      <c r="R65" s="7">
        <v>31</v>
      </c>
      <c r="S65" s="7">
        <v>58</v>
      </c>
      <c r="T65" s="7">
        <v>57</v>
      </c>
      <c r="U65" s="7">
        <v>84</v>
      </c>
      <c r="V65" s="7">
        <v>70</v>
      </c>
      <c r="W65" s="7">
        <v>54</v>
      </c>
      <c r="X65" s="7">
        <v>71</v>
      </c>
      <c r="Y65" s="7">
        <v>97</v>
      </c>
    </row>
    <row r="66" spans="2:25" ht="15.75" thickBot="1" x14ac:dyDescent="0.3">
      <c r="B66" s="6" t="s">
        <v>57</v>
      </c>
      <c r="C66" s="7"/>
      <c r="D66" s="7"/>
      <c r="E66" s="7"/>
      <c r="F66" s="7"/>
      <c r="G66" s="7"/>
      <c r="H66" s="7"/>
      <c r="I66" s="7"/>
      <c r="J66" s="7">
        <v>167</v>
      </c>
      <c r="K66" s="7">
        <v>259</v>
      </c>
      <c r="L66" s="7">
        <v>132</v>
      </c>
      <c r="M66" s="7">
        <v>70</v>
      </c>
      <c r="N66" s="7">
        <v>111</v>
      </c>
      <c r="O66" s="7">
        <v>67</v>
      </c>
      <c r="P66" s="7">
        <v>69</v>
      </c>
      <c r="Q66" s="7">
        <v>60</v>
      </c>
      <c r="R66" s="7">
        <v>63</v>
      </c>
      <c r="S66" s="7">
        <v>43</v>
      </c>
      <c r="T66" s="7">
        <v>37</v>
      </c>
      <c r="U66" s="7">
        <v>64</v>
      </c>
      <c r="V66" s="7">
        <v>60</v>
      </c>
      <c r="W66" s="7">
        <v>30</v>
      </c>
      <c r="X66" s="7">
        <v>30</v>
      </c>
      <c r="Y66" s="7">
        <v>77</v>
      </c>
    </row>
    <row r="67" spans="2:25" ht="15.75" thickBot="1" x14ac:dyDescent="0.3">
      <c r="B67" s="10" t="s">
        <v>58</v>
      </c>
      <c r="C67" s="11"/>
      <c r="D67" s="11"/>
      <c r="E67" s="11"/>
      <c r="F67" s="11"/>
      <c r="G67" s="11"/>
      <c r="H67" s="11"/>
      <c r="I67" s="11"/>
      <c r="J67" s="11">
        <v>2029</v>
      </c>
      <c r="K67" s="11">
        <v>2235</v>
      </c>
      <c r="L67" s="11">
        <v>2471</v>
      </c>
      <c r="M67" s="11">
        <v>2599</v>
      </c>
      <c r="N67" s="11">
        <v>2087</v>
      </c>
      <c r="O67" s="11">
        <v>1873</v>
      </c>
      <c r="P67" s="11">
        <v>1306</v>
      </c>
      <c r="Q67" s="11">
        <v>1034</v>
      </c>
      <c r="R67" s="11">
        <v>818</v>
      </c>
      <c r="S67" s="11">
        <v>867</v>
      </c>
      <c r="T67" s="11">
        <v>709</v>
      </c>
      <c r="U67" s="11">
        <v>1102</v>
      </c>
      <c r="V67" s="11">
        <v>720</v>
      </c>
      <c r="W67" s="11">
        <v>385</v>
      </c>
      <c r="X67" s="11">
        <v>499</v>
      </c>
      <c r="Y67" s="11">
        <v>769</v>
      </c>
    </row>
    <row r="68" spans="2:25" ht="15.75" thickBot="1" x14ac:dyDescent="0.3">
      <c r="B68" s="6" t="s">
        <v>59</v>
      </c>
      <c r="C68" s="7"/>
      <c r="D68" s="7"/>
      <c r="E68" s="7"/>
      <c r="F68" s="7"/>
      <c r="G68" s="7"/>
      <c r="H68" s="7"/>
      <c r="I68" s="7"/>
      <c r="J68" s="7">
        <v>844</v>
      </c>
      <c r="K68" s="7">
        <v>940</v>
      </c>
      <c r="L68" s="7">
        <v>863</v>
      </c>
      <c r="M68" s="7">
        <v>896</v>
      </c>
      <c r="N68" s="7">
        <v>540</v>
      </c>
      <c r="O68" s="7">
        <v>372</v>
      </c>
      <c r="P68" s="7">
        <v>110</v>
      </c>
      <c r="Q68" s="7">
        <v>99</v>
      </c>
      <c r="R68" s="7">
        <v>142</v>
      </c>
      <c r="S68" s="7">
        <v>274</v>
      </c>
      <c r="T68" s="7">
        <v>227</v>
      </c>
      <c r="U68" s="7">
        <v>324</v>
      </c>
      <c r="V68" s="7">
        <v>328</v>
      </c>
      <c r="W68" s="7">
        <v>189</v>
      </c>
      <c r="X68" s="7">
        <v>302</v>
      </c>
      <c r="Y68" s="7">
        <v>515</v>
      </c>
    </row>
    <row r="69" spans="2:25" ht="15.75" thickBot="1" x14ac:dyDescent="0.3">
      <c r="B69" s="6" t="s">
        <v>60</v>
      </c>
      <c r="C69" s="7"/>
      <c r="D69" s="7"/>
      <c r="E69" s="7"/>
      <c r="F69" s="7"/>
      <c r="G69" s="7"/>
      <c r="H69" s="7"/>
      <c r="I69" s="7"/>
      <c r="J69" s="7">
        <v>1185</v>
      </c>
      <c r="K69" s="7">
        <v>1295</v>
      </c>
      <c r="L69" s="7">
        <v>1608</v>
      </c>
      <c r="M69" s="7">
        <v>1703</v>
      </c>
      <c r="N69" s="7">
        <v>1547</v>
      </c>
      <c r="O69" s="7">
        <v>1501</v>
      </c>
      <c r="P69" s="7">
        <v>1196</v>
      </c>
      <c r="Q69" s="7">
        <v>935</v>
      </c>
      <c r="R69" s="7">
        <v>676</v>
      </c>
      <c r="S69" s="7">
        <v>593</v>
      </c>
      <c r="T69" s="7">
        <v>482</v>
      </c>
      <c r="U69" s="7">
        <v>778</v>
      </c>
      <c r="V69" s="7">
        <v>392</v>
      </c>
      <c r="W69" s="7">
        <v>196</v>
      </c>
      <c r="X69" s="7">
        <v>197</v>
      </c>
      <c r="Y69" s="7">
        <v>254</v>
      </c>
    </row>
    <row r="70" spans="2:25" ht="32.25" customHeight="1" thickBot="1" x14ac:dyDescent="0.3">
      <c r="B70" s="3" t="s">
        <v>61</v>
      </c>
      <c r="C70" s="9">
        <v>2003</v>
      </c>
      <c r="D70" s="9">
        <v>2004</v>
      </c>
      <c r="E70" s="9">
        <v>2005</v>
      </c>
      <c r="F70" s="9">
        <v>2006</v>
      </c>
      <c r="G70" s="9">
        <v>2007</v>
      </c>
      <c r="H70" s="9">
        <v>2008</v>
      </c>
      <c r="I70" s="9">
        <v>2009</v>
      </c>
      <c r="J70" s="9">
        <v>2010</v>
      </c>
      <c r="K70" s="9">
        <v>2011</v>
      </c>
      <c r="L70" s="9">
        <v>2012</v>
      </c>
      <c r="M70" s="9">
        <v>2013</v>
      </c>
      <c r="N70" s="9">
        <v>2014</v>
      </c>
      <c r="O70" s="9">
        <v>2015</v>
      </c>
      <c r="P70" s="9">
        <v>2016</v>
      </c>
      <c r="Q70" s="9">
        <v>2017</v>
      </c>
      <c r="R70" s="9">
        <v>2018</v>
      </c>
      <c r="S70" s="9">
        <v>2019</v>
      </c>
      <c r="T70" s="9">
        <v>2020</v>
      </c>
      <c r="U70" s="9">
        <v>2021</v>
      </c>
      <c r="V70" s="28">
        <v>2022</v>
      </c>
      <c r="W70" s="28">
        <v>2023</v>
      </c>
      <c r="X70" s="28">
        <v>2024</v>
      </c>
      <c r="Y70" s="28">
        <v>2025</v>
      </c>
    </row>
    <row r="71" spans="2:25" ht="16.5" thickTop="1" thickBot="1" x14ac:dyDescent="0.3">
      <c r="B71" s="6" t="s">
        <v>100</v>
      </c>
      <c r="C71" s="7">
        <v>426</v>
      </c>
      <c r="D71" s="7">
        <v>287</v>
      </c>
      <c r="E71" s="7">
        <v>252</v>
      </c>
      <c r="F71" s="7">
        <v>307</v>
      </c>
      <c r="G71" s="7">
        <v>360</v>
      </c>
      <c r="H71" s="7">
        <v>352</v>
      </c>
      <c r="I71" s="7">
        <v>434</v>
      </c>
      <c r="J71" s="7">
        <v>303</v>
      </c>
      <c r="K71" s="7">
        <v>166</v>
      </c>
      <c r="L71" s="7">
        <v>125</v>
      </c>
      <c r="M71" s="7">
        <v>168</v>
      </c>
      <c r="N71" s="7">
        <v>123</v>
      </c>
      <c r="O71" s="7">
        <v>111</v>
      </c>
      <c r="P71" s="7">
        <v>246</v>
      </c>
      <c r="Q71" s="7">
        <v>255</v>
      </c>
      <c r="R71" s="7">
        <v>340</v>
      </c>
      <c r="S71" s="7">
        <v>253</v>
      </c>
      <c r="T71" s="7">
        <v>215</v>
      </c>
      <c r="U71" s="7">
        <v>126</v>
      </c>
      <c r="V71" s="7">
        <v>100</v>
      </c>
      <c r="W71" s="7">
        <v>57</v>
      </c>
      <c r="X71" s="7">
        <v>85</v>
      </c>
      <c r="Y71" s="7">
        <v>77</v>
      </c>
    </row>
    <row r="72" spans="2:25" ht="15.75" thickBot="1" x14ac:dyDescent="0.3">
      <c r="B72" s="29" t="s">
        <v>63</v>
      </c>
      <c r="C72" s="7">
        <v>595</v>
      </c>
      <c r="D72" s="7">
        <v>569</v>
      </c>
      <c r="E72" s="7">
        <v>352</v>
      </c>
      <c r="F72" s="7">
        <v>452</v>
      </c>
      <c r="G72" s="7">
        <v>383</v>
      </c>
      <c r="H72" s="7">
        <v>302</v>
      </c>
      <c r="I72" s="7">
        <v>264</v>
      </c>
      <c r="J72" s="7">
        <v>288</v>
      </c>
      <c r="K72" s="7">
        <v>283</v>
      </c>
      <c r="L72" s="7">
        <v>203</v>
      </c>
      <c r="M72" s="7">
        <v>328</v>
      </c>
      <c r="N72" s="7">
        <v>276</v>
      </c>
      <c r="O72" s="7">
        <v>265</v>
      </c>
      <c r="P72" s="7">
        <v>195</v>
      </c>
      <c r="Q72" s="7">
        <v>182</v>
      </c>
      <c r="R72" s="7">
        <v>177</v>
      </c>
      <c r="S72" s="7">
        <v>161</v>
      </c>
      <c r="T72" s="7">
        <v>114</v>
      </c>
      <c r="U72" s="7">
        <v>181</v>
      </c>
      <c r="V72" s="7">
        <v>175</v>
      </c>
      <c r="W72" s="7">
        <v>246</v>
      </c>
      <c r="X72" s="7">
        <v>294</v>
      </c>
      <c r="Y72" s="7">
        <v>348</v>
      </c>
    </row>
    <row r="73" spans="2:25" ht="15.75" thickBot="1" x14ac:dyDescent="0.3">
      <c r="B73" s="10" t="s">
        <v>64</v>
      </c>
      <c r="C73" s="11"/>
      <c r="D73" s="11"/>
      <c r="E73" s="11"/>
      <c r="F73" s="11"/>
      <c r="G73" s="11"/>
      <c r="H73" s="11"/>
      <c r="I73" s="11"/>
      <c r="J73" s="11"/>
      <c r="K73" s="11"/>
      <c r="L73" s="11"/>
      <c r="M73" s="11"/>
      <c r="N73" s="11"/>
      <c r="O73" s="11"/>
      <c r="P73" s="11"/>
      <c r="Q73" s="11"/>
      <c r="R73" s="11"/>
      <c r="S73" s="11"/>
      <c r="T73" s="11">
        <v>34</v>
      </c>
      <c r="U73" s="11">
        <v>364</v>
      </c>
      <c r="V73" s="11">
        <v>460</v>
      </c>
      <c r="W73" s="11">
        <v>487</v>
      </c>
      <c r="X73" s="11">
        <v>615</v>
      </c>
      <c r="Y73" s="11">
        <v>426</v>
      </c>
    </row>
    <row r="74" spans="2:25" ht="15.75" thickBot="1" x14ac:dyDescent="0.3">
      <c r="B74" s="6" t="s">
        <v>66</v>
      </c>
      <c r="C74" s="7"/>
      <c r="D74" s="7"/>
      <c r="E74" s="7"/>
      <c r="F74" s="7"/>
      <c r="G74" s="7"/>
      <c r="H74" s="7"/>
      <c r="I74" s="7"/>
      <c r="J74" s="7"/>
      <c r="K74" s="7"/>
      <c r="L74" s="7"/>
      <c r="M74" s="7"/>
      <c r="N74" s="7"/>
      <c r="O74" s="7"/>
      <c r="P74" s="7"/>
      <c r="Q74" s="7"/>
      <c r="R74" s="7"/>
      <c r="S74" s="7"/>
      <c r="T74" s="7">
        <v>2</v>
      </c>
      <c r="U74" s="7">
        <v>5</v>
      </c>
      <c r="V74" s="7">
        <v>0</v>
      </c>
      <c r="W74" s="7">
        <v>0</v>
      </c>
      <c r="X74" s="7">
        <v>0</v>
      </c>
      <c r="Y74" s="7">
        <v>0</v>
      </c>
    </row>
    <row r="75" spans="2:25" ht="15.75" thickBot="1" x14ac:dyDescent="0.3">
      <c r="B75" s="6" t="s">
        <v>67</v>
      </c>
      <c r="C75" s="7"/>
      <c r="D75" s="7"/>
      <c r="E75" s="7"/>
      <c r="F75" s="7"/>
      <c r="G75" s="7"/>
      <c r="H75" s="7"/>
      <c r="I75" s="7"/>
      <c r="J75" s="7"/>
      <c r="K75" s="7"/>
      <c r="L75" s="7"/>
      <c r="M75" s="7"/>
      <c r="N75" s="7"/>
      <c r="O75" s="7"/>
      <c r="P75" s="7"/>
      <c r="Q75" s="7"/>
      <c r="R75" s="7"/>
      <c r="S75" s="7"/>
      <c r="T75" s="7">
        <v>5</v>
      </c>
      <c r="U75" s="7">
        <v>117</v>
      </c>
      <c r="V75" s="7">
        <v>151</v>
      </c>
      <c r="W75" s="7">
        <v>146</v>
      </c>
      <c r="X75" s="7">
        <v>191</v>
      </c>
      <c r="Y75" s="7">
        <v>211</v>
      </c>
    </row>
    <row r="76" spans="2:25" ht="15.75" thickBot="1" x14ac:dyDescent="0.3">
      <c r="B76" s="6" t="s">
        <v>68</v>
      </c>
      <c r="C76" s="7"/>
      <c r="D76" s="7"/>
      <c r="E76" s="7"/>
      <c r="F76" s="7"/>
      <c r="G76" s="7"/>
      <c r="H76" s="7"/>
      <c r="I76" s="7"/>
      <c r="J76" s="7"/>
      <c r="K76" s="7"/>
      <c r="L76" s="7"/>
      <c r="M76" s="7"/>
      <c r="N76" s="7"/>
      <c r="O76" s="7"/>
      <c r="P76" s="7"/>
      <c r="Q76" s="7"/>
      <c r="R76" s="7"/>
      <c r="S76" s="7"/>
      <c r="T76" s="7">
        <v>26</v>
      </c>
      <c r="U76" s="7">
        <v>237</v>
      </c>
      <c r="V76" s="7">
        <v>304</v>
      </c>
      <c r="W76" s="7">
        <v>341</v>
      </c>
      <c r="X76" s="7">
        <v>424</v>
      </c>
      <c r="Y76" s="7">
        <v>215</v>
      </c>
    </row>
    <row r="77" spans="2:25" ht="15.75" thickBot="1" x14ac:dyDescent="0.3">
      <c r="B77" s="6" t="s">
        <v>69</v>
      </c>
      <c r="C77" s="7"/>
      <c r="D77" s="7"/>
      <c r="E77" s="7"/>
      <c r="F77" s="7"/>
      <c r="G77" s="7"/>
      <c r="H77" s="7"/>
      <c r="I77" s="7"/>
      <c r="J77" s="7"/>
      <c r="K77" s="7"/>
      <c r="L77" s="7"/>
      <c r="M77" s="7"/>
      <c r="N77" s="7"/>
      <c r="O77" s="7"/>
      <c r="P77" s="7"/>
      <c r="Q77" s="7"/>
      <c r="R77" s="7"/>
      <c r="S77" s="7"/>
      <c r="T77" s="7">
        <v>1</v>
      </c>
      <c r="U77" s="7">
        <v>5</v>
      </c>
      <c r="V77" s="7">
        <v>5</v>
      </c>
      <c r="W77" s="7">
        <v>0</v>
      </c>
      <c r="X77" s="7">
        <v>0</v>
      </c>
      <c r="Y77" s="7">
        <v>0</v>
      </c>
    </row>
    <row r="78" spans="2:25" ht="18" thickBot="1" x14ac:dyDescent="0.35">
      <c r="B78" s="2" t="s">
        <v>70</v>
      </c>
      <c r="C78" s="17"/>
      <c r="D78" s="18"/>
      <c r="E78" s="18"/>
      <c r="F78" s="18"/>
      <c r="G78" s="18"/>
      <c r="H78" s="18"/>
      <c r="I78" s="18"/>
      <c r="J78" s="18"/>
      <c r="K78" s="18"/>
      <c r="L78" s="18"/>
      <c r="M78" s="18"/>
      <c r="N78" s="18"/>
      <c r="O78" s="18"/>
      <c r="P78" s="18"/>
      <c r="Q78" s="18"/>
      <c r="R78" s="18"/>
      <c r="S78" s="18"/>
      <c r="T78" s="18"/>
    </row>
    <row r="79" spans="2:25" ht="32.1" customHeight="1" thickBot="1" x14ac:dyDescent="0.3">
      <c r="B79" s="3" t="s">
        <v>71</v>
      </c>
      <c r="C79" s="9">
        <v>2003</v>
      </c>
      <c r="D79" s="9">
        <v>2004</v>
      </c>
      <c r="E79" s="9">
        <v>2005</v>
      </c>
      <c r="F79" s="9">
        <v>2006</v>
      </c>
      <c r="G79" s="9">
        <v>2007</v>
      </c>
      <c r="H79" s="9">
        <v>2008</v>
      </c>
      <c r="I79" s="9">
        <v>2009</v>
      </c>
      <c r="J79" s="9">
        <v>2010</v>
      </c>
      <c r="K79" s="9">
        <v>2011</v>
      </c>
      <c r="L79" s="9">
        <v>2012</v>
      </c>
      <c r="M79" s="9">
        <v>2013</v>
      </c>
      <c r="N79" s="9">
        <v>2014</v>
      </c>
      <c r="O79" s="9">
        <v>2015</v>
      </c>
      <c r="P79" s="9">
        <v>2016</v>
      </c>
      <c r="Q79" s="9">
        <v>2017</v>
      </c>
      <c r="R79" s="9">
        <v>2018</v>
      </c>
      <c r="S79" s="9">
        <v>2019</v>
      </c>
      <c r="T79" s="9">
        <v>2020</v>
      </c>
      <c r="U79" s="9">
        <v>2021</v>
      </c>
      <c r="V79" s="28">
        <v>2022</v>
      </c>
      <c r="W79" s="28">
        <v>2023</v>
      </c>
      <c r="X79" s="28">
        <v>2024</v>
      </c>
      <c r="Y79" s="28">
        <v>2025</v>
      </c>
    </row>
    <row r="80" spans="2:25" ht="16.5" thickTop="1" thickBot="1" x14ac:dyDescent="0.3">
      <c r="B80" s="6" t="s">
        <v>72</v>
      </c>
      <c r="C80" s="7"/>
      <c r="D80" s="7"/>
      <c r="E80" s="7"/>
      <c r="F80" s="7"/>
      <c r="G80" s="7"/>
      <c r="H80" s="7"/>
      <c r="I80" s="7"/>
      <c r="J80" s="7">
        <v>522.1</v>
      </c>
      <c r="K80" s="7">
        <v>499</v>
      </c>
      <c r="L80" s="7">
        <v>559</v>
      </c>
      <c r="M80" s="7">
        <v>602</v>
      </c>
      <c r="N80" s="7">
        <v>585</v>
      </c>
      <c r="O80" s="7">
        <v>291</v>
      </c>
      <c r="P80" s="7">
        <v>259</v>
      </c>
      <c r="Q80" s="7">
        <v>238</v>
      </c>
      <c r="R80" s="7">
        <v>217</v>
      </c>
      <c r="S80" s="7">
        <v>232</v>
      </c>
      <c r="T80" s="7">
        <v>252</v>
      </c>
      <c r="U80" s="7">
        <v>354</v>
      </c>
      <c r="V80" s="7">
        <v>351</v>
      </c>
      <c r="W80" s="7">
        <v>412</v>
      </c>
      <c r="X80" s="7">
        <v>332</v>
      </c>
      <c r="Y80" s="7">
        <v>210</v>
      </c>
    </row>
    <row r="81" spans="2:25" ht="15.75" thickBot="1" x14ac:dyDescent="0.3">
      <c r="B81" s="6" t="s">
        <v>73</v>
      </c>
      <c r="C81" s="7"/>
      <c r="D81" s="7"/>
      <c r="E81" s="7"/>
      <c r="F81" s="7"/>
      <c r="G81" s="7"/>
      <c r="H81" s="7"/>
      <c r="I81" s="7"/>
      <c r="J81" s="7">
        <v>239</v>
      </c>
      <c r="K81" s="7">
        <v>154</v>
      </c>
      <c r="L81" s="7">
        <v>169</v>
      </c>
      <c r="M81" s="7">
        <v>259</v>
      </c>
      <c r="N81" s="7">
        <v>329</v>
      </c>
      <c r="O81" s="7">
        <v>206</v>
      </c>
      <c r="P81" s="7">
        <v>79</v>
      </c>
      <c r="Q81" s="7">
        <v>121</v>
      </c>
      <c r="R81" s="7">
        <v>91</v>
      </c>
      <c r="S81" s="7">
        <v>46</v>
      </c>
      <c r="T81" s="7">
        <v>27</v>
      </c>
      <c r="U81" s="7">
        <v>26</v>
      </c>
      <c r="V81" s="7">
        <v>44</v>
      </c>
      <c r="W81" s="7">
        <v>172</v>
      </c>
      <c r="X81" s="7">
        <v>311</v>
      </c>
      <c r="Y81" s="7">
        <v>212</v>
      </c>
    </row>
    <row r="82" spans="2:25" ht="15.75" thickBot="1" x14ac:dyDescent="0.3">
      <c r="B82" s="6" t="s">
        <v>74</v>
      </c>
      <c r="C82" s="7"/>
      <c r="D82" s="7"/>
      <c r="E82" s="7"/>
      <c r="F82" s="7"/>
      <c r="G82" s="7"/>
      <c r="H82" s="7"/>
      <c r="I82" s="7"/>
      <c r="J82" s="7">
        <v>157148.03954000014</v>
      </c>
      <c r="K82" s="7">
        <v>155557.7114400003</v>
      </c>
      <c r="L82" s="7">
        <v>183245.39347000085</v>
      </c>
      <c r="M82" s="7">
        <v>166981.77055000019</v>
      </c>
      <c r="N82" s="7">
        <v>148076.87110999957</v>
      </c>
      <c r="O82" s="7">
        <v>253591.14494000029</v>
      </c>
      <c r="P82" s="7">
        <v>362414.90077999828</v>
      </c>
      <c r="Q82" s="7">
        <v>434729.75022999878</v>
      </c>
      <c r="R82" s="7">
        <v>413383.28483999928</v>
      </c>
      <c r="S82" s="7">
        <v>428417.55219000054</v>
      </c>
      <c r="T82" s="7">
        <v>505682.55657999992</v>
      </c>
      <c r="U82" s="7">
        <v>669340.05242999853</v>
      </c>
      <c r="V82" s="7">
        <v>659133.8650199984</v>
      </c>
      <c r="W82" s="7">
        <v>746285.1782999963</v>
      </c>
      <c r="X82" s="7">
        <v>889201.34463999665</v>
      </c>
      <c r="Y82" s="7">
        <v>984525.54034999094</v>
      </c>
    </row>
    <row r="83" spans="2:25" ht="15.75" thickBot="1" x14ac:dyDescent="0.3">
      <c r="B83" s="6" t="s">
        <v>75</v>
      </c>
      <c r="C83" s="7"/>
      <c r="D83" s="7"/>
      <c r="E83" s="7"/>
      <c r="F83" s="7"/>
      <c r="G83" s="7"/>
      <c r="H83" s="7"/>
      <c r="I83" s="7"/>
      <c r="J83" s="7">
        <v>339.18620000000004</v>
      </c>
      <c r="K83" s="7">
        <v>554.95384999999987</v>
      </c>
      <c r="L83" s="7">
        <v>470.34753000000006</v>
      </c>
      <c r="M83" s="7">
        <v>403.48913000000022</v>
      </c>
      <c r="N83" s="7">
        <v>348.79260999999985</v>
      </c>
      <c r="O83" s="7">
        <v>393.29224999999974</v>
      </c>
      <c r="P83" s="7">
        <v>520.89988000000005</v>
      </c>
      <c r="Q83" s="7">
        <v>444.41264000000007</v>
      </c>
      <c r="R83" s="7">
        <v>329.46844999999996</v>
      </c>
      <c r="S83" s="7">
        <v>357.43164964000016</v>
      </c>
      <c r="T83" s="7">
        <v>262.6906699999999</v>
      </c>
      <c r="U83" s="7">
        <v>343.43019999999984</v>
      </c>
      <c r="V83" s="7">
        <v>397.33019999999988</v>
      </c>
      <c r="W83" s="7">
        <v>572.44026999999971</v>
      </c>
      <c r="X83" s="7">
        <v>378.40741000000014</v>
      </c>
      <c r="Y83" s="7">
        <v>429.85160999999999</v>
      </c>
    </row>
    <row r="84" spans="2:25" ht="15.75" thickBot="1" x14ac:dyDescent="0.3">
      <c r="B84" s="6" t="s">
        <v>76</v>
      </c>
      <c r="C84" s="7"/>
      <c r="D84" s="7"/>
      <c r="E84" s="7"/>
      <c r="F84" s="7"/>
      <c r="G84" s="7"/>
      <c r="H84" s="7"/>
      <c r="I84" s="7"/>
      <c r="J84" s="7">
        <v>853136.81949999998</v>
      </c>
      <c r="K84" s="7">
        <v>1023579.4177000001</v>
      </c>
      <c r="L84" s="7">
        <v>481674.22549999983</v>
      </c>
      <c r="M84" s="7">
        <v>446289.52300000004</v>
      </c>
      <c r="N84" s="7">
        <v>532989.14150000003</v>
      </c>
      <c r="O84" s="7">
        <v>777640.23899999994</v>
      </c>
      <c r="P84" s="7">
        <v>1040878.2408000001</v>
      </c>
      <c r="Q84" s="7">
        <v>611412.86199999996</v>
      </c>
      <c r="R84" s="7">
        <v>458429.33100000006</v>
      </c>
      <c r="S84" s="7">
        <v>497729.68800000014</v>
      </c>
      <c r="T84" s="7">
        <v>546743.8330000001</v>
      </c>
      <c r="U84" s="7">
        <v>721022.54500000016</v>
      </c>
      <c r="V84" s="7">
        <v>676210.72999999986</v>
      </c>
      <c r="W84" s="7">
        <v>984334.50100000005</v>
      </c>
      <c r="X84" s="7">
        <v>939910.23000000021</v>
      </c>
      <c r="Y84" s="7">
        <v>619708.52800000005</v>
      </c>
    </row>
    <row r="85" spans="2:25" ht="15.75" thickBot="1" x14ac:dyDescent="0.3">
      <c r="B85" s="6" t="s">
        <v>77</v>
      </c>
      <c r="C85" s="7"/>
      <c r="D85" s="7"/>
      <c r="E85" s="7"/>
      <c r="F85" s="7"/>
      <c r="G85" s="7"/>
      <c r="H85" s="7"/>
      <c r="I85" s="7"/>
      <c r="J85" s="7">
        <v>106822.36244000014</v>
      </c>
      <c r="K85" s="7">
        <v>57100.554569999891</v>
      </c>
      <c r="L85" s="7">
        <v>56053.54768999965</v>
      </c>
      <c r="M85" s="7">
        <v>46621.504670000104</v>
      </c>
      <c r="N85" s="7">
        <v>41120.147729999735</v>
      </c>
      <c r="O85" s="7">
        <v>42660.037259999765</v>
      </c>
      <c r="P85" s="7">
        <v>43073.438779999771</v>
      </c>
      <c r="Q85" s="7">
        <v>52421.099299999943</v>
      </c>
      <c r="R85" s="7">
        <v>42387.122289999665</v>
      </c>
      <c r="S85" s="7">
        <v>59324.89772999991</v>
      </c>
      <c r="T85" s="7">
        <v>74193.79275999972</v>
      </c>
      <c r="U85" s="7">
        <v>88655.399029999826</v>
      </c>
      <c r="V85" s="7">
        <v>106728.48666000017</v>
      </c>
      <c r="W85" s="7">
        <v>99356.332930000135</v>
      </c>
      <c r="X85" s="7">
        <v>75418.341210000479</v>
      </c>
      <c r="Y85" s="7">
        <v>69172.952560000806</v>
      </c>
    </row>
    <row r="86" spans="2:25" ht="15.75" thickBot="1" x14ac:dyDescent="0.3">
      <c r="B86" s="6" t="s">
        <v>78</v>
      </c>
      <c r="C86" s="7"/>
      <c r="D86" s="7"/>
      <c r="E86" s="7"/>
      <c r="F86" s="7"/>
      <c r="G86" s="7"/>
      <c r="H86" s="7"/>
      <c r="I86" s="7"/>
      <c r="J86" s="7">
        <v>3575.6112100000055</v>
      </c>
      <c r="K86" s="7">
        <v>2421.8396700000108</v>
      </c>
      <c r="L86" s="7">
        <v>3415.3293200000185</v>
      </c>
      <c r="M86" s="7">
        <v>3700.4941000000108</v>
      </c>
      <c r="N86" s="7">
        <v>2491.1323200000061</v>
      </c>
      <c r="O86" s="7">
        <v>2398.9818600000131</v>
      </c>
      <c r="P86" s="7">
        <v>2166.7907100000048</v>
      </c>
      <c r="Q86" s="7">
        <v>2330.4155300000029</v>
      </c>
      <c r="R86" s="7">
        <v>1683.8404500000031</v>
      </c>
      <c r="S86" s="7">
        <v>1479.3929699999985</v>
      </c>
      <c r="T86" s="7">
        <v>1344.7658500000005</v>
      </c>
      <c r="U86" s="7">
        <v>1333.5711500000004</v>
      </c>
      <c r="V86" s="7">
        <v>1456.4826200000036</v>
      </c>
      <c r="W86" s="7">
        <v>1088.009220000004</v>
      </c>
      <c r="X86" s="7">
        <v>1005.2512299999993</v>
      </c>
      <c r="Y86" s="7">
        <v>1163.4854399999997</v>
      </c>
    </row>
    <row r="87" spans="2:25" ht="15.75" thickBot="1" x14ac:dyDescent="0.3">
      <c r="B87" s="6" t="s">
        <v>79</v>
      </c>
      <c r="C87" s="7"/>
      <c r="D87" s="7"/>
      <c r="E87" s="7"/>
      <c r="F87" s="7"/>
      <c r="G87" s="7"/>
      <c r="H87" s="7"/>
      <c r="I87" s="7"/>
      <c r="J87" s="7">
        <v>271622.4878900011</v>
      </c>
      <c r="K87" s="7">
        <v>353284.10084000061</v>
      </c>
      <c r="L87" s="7">
        <v>362192.01999000291</v>
      </c>
      <c r="M87" s="7">
        <v>408177.63155000139</v>
      </c>
      <c r="N87" s="7">
        <v>303916.7571300022</v>
      </c>
      <c r="O87" s="7">
        <v>255863.10869999893</v>
      </c>
      <c r="P87" s="7">
        <v>193077.5149600005</v>
      </c>
      <c r="Q87" s="7">
        <v>239421.05551000146</v>
      </c>
      <c r="R87" s="7">
        <v>264444.4682100002</v>
      </c>
      <c r="S87" s="7">
        <v>376126.63520999905</v>
      </c>
      <c r="T87" s="7">
        <v>534559.35449000238</v>
      </c>
      <c r="U87" s="7">
        <v>490984.20838999859</v>
      </c>
      <c r="V87" s="7">
        <v>391068.97553000203</v>
      </c>
      <c r="W87" s="7">
        <v>421166.81835999875</v>
      </c>
      <c r="X87" s="7">
        <v>452833.56808999827</v>
      </c>
      <c r="Y87" s="7">
        <v>429353.16589000175</v>
      </c>
    </row>
    <row r="88" spans="2:25" ht="15" customHeight="1" thickBot="1" x14ac:dyDescent="0.3">
      <c r="B88" s="6" t="s">
        <v>80</v>
      </c>
      <c r="C88" s="7">
        <v>135810.65999999989</v>
      </c>
      <c r="D88" s="7">
        <v>139611.80000000005</v>
      </c>
      <c r="E88" s="7">
        <v>140399.58999999985</v>
      </c>
      <c r="F88" s="7">
        <v>172251.50999999975</v>
      </c>
      <c r="G88" s="7">
        <v>153133.69000000015</v>
      </c>
      <c r="H88" s="7">
        <v>133495.68000000008</v>
      </c>
      <c r="I88" s="7">
        <v>104771.51999999986</v>
      </c>
      <c r="J88" s="7">
        <v>101939.63999999993</v>
      </c>
      <c r="K88" s="7">
        <v>103302.47000000012</v>
      </c>
      <c r="L88" s="7">
        <v>100677.50999999986</v>
      </c>
      <c r="M88" s="7">
        <v>47051.719999999928</v>
      </c>
      <c r="N88" s="7">
        <v>55553.99999999992</v>
      </c>
      <c r="O88" s="7">
        <v>36494.040000000008</v>
      </c>
      <c r="P88" s="7">
        <v>0</v>
      </c>
      <c r="Q88" s="7">
        <v>0</v>
      </c>
      <c r="R88" s="7">
        <v>0</v>
      </c>
      <c r="S88" s="7">
        <v>0</v>
      </c>
      <c r="T88" s="7">
        <v>0</v>
      </c>
      <c r="U88" s="7">
        <v>0</v>
      </c>
      <c r="V88" s="7">
        <v>0</v>
      </c>
      <c r="W88" s="7">
        <v>0</v>
      </c>
      <c r="X88" s="7">
        <v>0</v>
      </c>
      <c r="Y88" s="7">
        <v>0</v>
      </c>
    </row>
    <row r="89" spans="2:25" ht="15.75" thickBot="1" x14ac:dyDescent="0.3">
      <c r="B89" s="6" t="s">
        <v>81</v>
      </c>
      <c r="C89" s="7"/>
      <c r="D89" s="7"/>
      <c r="E89" s="7"/>
      <c r="F89" s="7"/>
      <c r="G89" s="7"/>
      <c r="H89" s="7"/>
      <c r="I89" s="7"/>
      <c r="J89" s="7">
        <v>43799.831769999866</v>
      </c>
      <c r="K89" s="7">
        <v>35199.62229666669</v>
      </c>
      <c r="L89" s="7">
        <v>30487.297699999501</v>
      </c>
      <c r="M89" s="7">
        <v>22120.185800000403</v>
      </c>
      <c r="N89" s="7">
        <v>11814.000799999965</v>
      </c>
      <c r="O89" s="7">
        <v>13473.463000000038</v>
      </c>
      <c r="P89" s="7">
        <v>17642.426100000059</v>
      </c>
      <c r="Q89" s="7">
        <v>52000.671625001749</v>
      </c>
      <c r="R89" s="7">
        <v>59977.951400008256</v>
      </c>
      <c r="S89" s="7">
        <v>94605.737399998499</v>
      </c>
      <c r="T89" s="7">
        <v>130147.32890999808</v>
      </c>
      <c r="U89" s="7">
        <v>103257.2478000017</v>
      </c>
      <c r="V89" s="7">
        <v>68893.056200001272</v>
      </c>
      <c r="W89" s="7">
        <v>20324.55279999991</v>
      </c>
      <c r="X89" s="7">
        <v>9402.9579999999405</v>
      </c>
      <c r="Y89" s="7">
        <v>8051.1299999999819</v>
      </c>
    </row>
    <row r="90" spans="2:25" ht="15.75" thickBot="1" x14ac:dyDescent="0.3">
      <c r="B90" s="6" t="s">
        <v>82</v>
      </c>
      <c r="C90" s="7"/>
      <c r="D90" s="7"/>
      <c r="E90" s="7"/>
      <c r="F90" s="7"/>
      <c r="G90" s="7"/>
      <c r="H90" s="7"/>
      <c r="I90" s="7"/>
      <c r="J90" s="7">
        <v>2589</v>
      </c>
      <c r="K90" s="7">
        <v>2279</v>
      </c>
      <c r="L90" s="7">
        <v>2440</v>
      </c>
      <c r="M90" s="7">
        <v>2338</v>
      </c>
      <c r="N90" s="7">
        <v>2367</v>
      </c>
      <c r="O90" s="7">
        <v>3853</v>
      </c>
      <c r="P90" s="7">
        <v>4835</v>
      </c>
      <c r="Q90" s="7">
        <v>4273</v>
      </c>
      <c r="R90" s="7">
        <v>4579</v>
      </c>
      <c r="S90" s="7">
        <v>5494</v>
      </c>
      <c r="T90" s="7">
        <v>5233</v>
      </c>
      <c r="U90" s="7">
        <v>5779</v>
      </c>
      <c r="V90" s="7">
        <v>4719</v>
      </c>
      <c r="W90" s="7">
        <v>5237</v>
      </c>
      <c r="X90" s="7">
        <v>5261</v>
      </c>
      <c r="Y90" s="7">
        <v>5444</v>
      </c>
    </row>
    <row r="91" spans="2:25" ht="15.75" thickBot="1" x14ac:dyDescent="0.3">
      <c r="B91" s="6" t="s">
        <v>101</v>
      </c>
      <c r="C91" s="7"/>
      <c r="D91" s="7"/>
      <c r="E91" s="7"/>
      <c r="F91" s="7"/>
      <c r="G91" s="7"/>
      <c r="H91" s="7"/>
      <c r="I91" s="7"/>
      <c r="J91" s="7">
        <v>26</v>
      </c>
      <c r="K91" s="7">
        <v>22</v>
      </c>
      <c r="L91" s="7">
        <v>21</v>
      </c>
      <c r="M91" s="7">
        <v>22</v>
      </c>
      <c r="N91" s="7">
        <v>3</v>
      </c>
      <c r="O91" s="7">
        <v>6</v>
      </c>
      <c r="P91" s="7">
        <v>6</v>
      </c>
      <c r="Q91" s="7">
        <v>6</v>
      </c>
      <c r="R91" s="7">
        <v>6</v>
      </c>
      <c r="S91" s="7">
        <v>4</v>
      </c>
      <c r="T91" s="7">
        <v>3</v>
      </c>
      <c r="U91" s="7">
        <v>4</v>
      </c>
      <c r="V91" s="7">
        <v>5</v>
      </c>
      <c r="W91" s="7">
        <v>2</v>
      </c>
      <c r="X91" s="7">
        <v>1</v>
      </c>
      <c r="Y91" s="7">
        <v>1</v>
      </c>
    </row>
    <row r="92" spans="2:25" ht="15.75" thickBot="1" x14ac:dyDescent="0.3">
      <c r="B92" s="6" t="s">
        <v>84</v>
      </c>
      <c r="C92" s="7"/>
      <c r="D92" s="7"/>
      <c r="E92" s="7"/>
      <c r="F92" s="7"/>
      <c r="G92" s="7"/>
      <c r="H92" s="7"/>
      <c r="I92" s="7"/>
      <c r="J92" s="7">
        <v>2586583.1930000009</v>
      </c>
      <c r="K92" s="7">
        <v>2670677.7760000005</v>
      </c>
      <c r="L92" s="7">
        <v>3685340.5410000016</v>
      </c>
      <c r="M92" s="7">
        <v>3145839.2679999978</v>
      </c>
      <c r="N92" s="7">
        <v>3231185.9160000002</v>
      </c>
      <c r="O92" s="7">
        <v>5680440.7529999958</v>
      </c>
      <c r="P92" s="7">
        <v>3651397.1719999947</v>
      </c>
      <c r="Q92" s="7">
        <v>4908774.1279999996</v>
      </c>
      <c r="R92" s="7">
        <v>4999091.2839999991</v>
      </c>
      <c r="S92" s="7">
        <v>4901628.3190000001</v>
      </c>
      <c r="T92" s="7">
        <v>4384445.2930000015</v>
      </c>
      <c r="U92" s="7">
        <v>3505547.0109999976</v>
      </c>
      <c r="V92" s="7">
        <v>3017065.4360000002</v>
      </c>
      <c r="W92" s="7">
        <v>3956793.284</v>
      </c>
      <c r="X92" s="7">
        <v>3257834</v>
      </c>
      <c r="Y92" s="7">
        <v>2246026.9709999999</v>
      </c>
    </row>
    <row r="93" spans="2:25" ht="15.75" thickBot="1" x14ac:dyDescent="0.3">
      <c r="B93" s="6" t="s">
        <v>85</v>
      </c>
      <c r="C93" s="7"/>
      <c r="D93" s="7"/>
      <c r="E93" s="7"/>
      <c r="F93" s="7"/>
      <c r="G93" s="7"/>
      <c r="H93" s="7"/>
      <c r="I93" s="7"/>
      <c r="J93" s="7">
        <v>8934125.6860000007</v>
      </c>
      <c r="K93" s="7">
        <v>10365053.710999997</v>
      </c>
      <c r="L93" s="7">
        <v>7197652.2509999974</v>
      </c>
      <c r="M93" s="7">
        <v>22535513.743000001</v>
      </c>
      <c r="N93" s="7">
        <v>11927959.66</v>
      </c>
      <c r="O93" s="7">
        <v>8157617.642</v>
      </c>
      <c r="P93" s="7">
        <v>12755428.459000003</v>
      </c>
      <c r="Q93" s="7">
        <v>12101633.224999998</v>
      </c>
      <c r="R93" s="7">
        <v>16898675.388999999</v>
      </c>
      <c r="S93" s="7">
        <v>18068219.829000011</v>
      </c>
      <c r="T93" s="7">
        <v>14561851.723999999</v>
      </c>
      <c r="U93" s="7">
        <v>4800837.0440000007</v>
      </c>
      <c r="V93" s="7">
        <v>2708504.57</v>
      </c>
      <c r="W93" s="7">
        <v>3473939.33</v>
      </c>
      <c r="X93" s="7">
        <v>2793257</v>
      </c>
      <c r="Y93" s="7">
        <v>1771919.3419999999</v>
      </c>
    </row>
    <row r="94" spans="2:25" ht="32.1" customHeight="1" thickBot="1" x14ac:dyDescent="0.3">
      <c r="B94" s="3" t="s">
        <v>86</v>
      </c>
      <c r="C94" s="9">
        <v>2003</v>
      </c>
      <c r="D94" s="9">
        <v>2004</v>
      </c>
      <c r="E94" s="9">
        <v>2005</v>
      </c>
      <c r="F94" s="9">
        <v>2006</v>
      </c>
      <c r="G94" s="9">
        <v>2007</v>
      </c>
      <c r="H94" s="9">
        <v>2008</v>
      </c>
      <c r="I94" s="9">
        <v>2009</v>
      </c>
      <c r="J94" s="9">
        <v>2010</v>
      </c>
      <c r="K94" s="9">
        <v>2011</v>
      </c>
      <c r="L94" s="9">
        <v>2012</v>
      </c>
      <c r="M94" s="9">
        <v>2013</v>
      </c>
      <c r="N94" s="9">
        <v>2014</v>
      </c>
      <c r="O94" s="9">
        <v>2015</v>
      </c>
      <c r="P94" s="9">
        <v>2016</v>
      </c>
      <c r="Q94" s="9">
        <v>2017</v>
      </c>
      <c r="R94" s="9">
        <v>2018</v>
      </c>
      <c r="S94" s="9">
        <v>2019</v>
      </c>
      <c r="T94" s="9">
        <v>2020</v>
      </c>
      <c r="U94" s="9">
        <v>2021</v>
      </c>
      <c r="V94" s="28">
        <v>2022</v>
      </c>
      <c r="W94" s="28">
        <v>2023</v>
      </c>
      <c r="X94" s="28">
        <v>2024</v>
      </c>
      <c r="Y94" s="28">
        <v>2025</v>
      </c>
    </row>
    <row r="95" spans="2:25" ht="16.5" thickTop="1" thickBot="1" x14ac:dyDescent="0.3">
      <c r="B95" s="6" t="s">
        <v>87</v>
      </c>
      <c r="C95" s="7"/>
      <c r="D95" s="7"/>
      <c r="E95" s="7"/>
      <c r="F95" s="7"/>
      <c r="G95" s="7"/>
      <c r="H95" s="7"/>
      <c r="I95" s="7"/>
      <c r="J95" s="7">
        <v>398</v>
      </c>
      <c r="K95" s="7">
        <v>1272</v>
      </c>
      <c r="L95" s="7">
        <v>1861</v>
      </c>
      <c r="M95" s="7">
        <v>1379</v>
      </c>
      <c r="N95" s="7">
        <v>1757</v>
      </c>
      <c r="O95" s="7">
        <v>2265</v>
      </c>
      <c r="P95" s="7">
        <v>2560</v>
      </c>
      <c r="Q95" s="7">
        <v>2279</v>
      </c>
      <c r="R95" s="7">
        <v>1772</v>
      </c>
      <c r="S95" s="7">
        <v>1542</v>
      </c>
      <c r="T95" s="7">
        <v>1935</v>
      </c>
      <c r="U95" s="7">
        <v>1815</v>
      </c>
      <c r="V95" s="7">
        <v>1214</v>
      </c>
      <c r="W95" s="7">
        <v>1193</v>
      </c>
      <c r="X95" s="7">
        <v>1148</v>
      </c>
      <c r="Y95" s="7">
        <v>1439</v>
      </c>
    </row>
    <row r="96" spans="2:25" ht="15.75" thickBot="1" x14ac:dyDescent="0.3">
      <c r="B96" s="6" t="s">
        <v>88</v>
      </c>
      <c r="C96" s="7"/>
      <c r="D96" s="7"/>
      <c r="E96" s="7"/>
      <c r="F96" s="7"/>
      <c r="G96" s="7"/>
      <c r="H96" s="7"/>
      <c r="I96" s="7"/>
      <c r="J96" s="7">
        <v>124</v>
      </c>
      <c r="K96" s="7">
        <v>623</v>
      </c>
      <c r="L96" s="7">
        <v>919</v>
      </c>
      <c r="M96" s="7">
        <v>1048</v>
      </c>
      <c r="N96" s="7">
        <v>934</v>
      </c>
      <c r="O96" s="7">
        <v>1929</v>
      </c>
      <c r="P96" s="7">
        <v>2545</v>
      </c>
      <c r="Q96" s="7">
        <v>3058</v>
      </c>
      <c r="R96" s="7">
        <v>3305</v>
      </c>
      <c r="S96" s="7">
        <v>3752</v>
      </c>
      <c r="T96" s="7">
        <v>4487</v>
      </c>
      <c r="U96" s="7">
        <v>3893</v>
      </c>
      <c r="V96" s="7">
        <v>2413</v>
      </c>
      <c r="W96" s="7">
        <v>2969</v>
      </c>
      <c r="X96" s="7">
        <v>5247</v>
      </c>
      <c r="Y96" s="7">
        <v>6151</v>
      </c>
    </row>
    <row r="97" spans="2:25" ht="32.1" customHeight="1" thickBot="1" x14ac:dyDescent="0.3">
      <c r="B97" s="3" t="s">
        <v>89</v>
      </c>
      <c r="C97" s="9">
        <v>2003</v>
      </c>
      <c r="D97" s="9">
        <v>2004</v>
      </c>
      <c r="E97" s="9">
        <v>2005</v>
      </c>
      <c r="F97" s="9">
        <v>2006</v>
      </c>
      <c r="G97" s="9">
        <v>2007</v>
      </c>
      <c r="H97" s="9">
        <v>2008</v>
      </c>
      <c r="I97" s="9">
        <v>2009</v>
      </c>
      <c r="J97" s="9">
        <v>2010</v>
      </c>
      <c r="K97" s="9">
        <v>2011</v>
      </c>
      <c r="L97" s="9">
        <v>2012</v>
      </c>
      <c r="M97" s="9">
        <v>2013</v>
      </c>
      <c r="N97" s="9">
        <v>2014</v>
      </c>
      <c r="O97" s="9">
        <v>2015</v>
      </c>
      <c r="P97" s="9">
        <v>2016</v>
      </c>
      <c r="Q97" s="9">
        <v>2017</v>
      </c>
      <c r="R97" s="9">
        <v>2018</v>
      </c>
      <c r="S97" s="9">
        <v>2019</v>
      </c>
      <c r="T97" s="9">
        <v>2020</v>
      </c>
      <c r="U97" s="9">
        <v>2021</v>
      </c>
      <c r="V97" s="28">
        <v>2022</v>
      </c>
      <c r="W97" s="28">
        <v>2023</v>
      </c>
      <c r="X97" s="28">
        <v>2024</v>
      </c>
      <c r="Y97" s="28">
        <v>2025</v>
      </c>
    </row>
    <row r="98" spans="2:25" ht="16.5" thickTop="1" thickBot="1" x14ac:dyDescent="0.3">
      <c r="B98" s="6" t="s">
        <v>90</v>
      </c>
      <c r="C98" s="7"/>
      <c r="D98" s="7"/>
      <c r="E98" s="7"/>
      <c r="F98" s="7"/>
      <c r="G98" s="7"/>
      <c r="H98" s="7"/>
      <c r="I98" s="7"/>
      <c r="J98" s="7">
        <v>73</v>
      </c>
      <c r="K98" s="7">
        <v>158</v>
      </c>
      <c r="L98" s="7">
        <v>517</v>
      </c>
      <c r="M98" s="7">
        <v>266</v>
      </c>
      <c r="N98" s="7">
        <v>439</v>
      </c>
      <c r="O98" s="7">
        <v>290</v>
      </c>
      <c r="P98" s="7">
        <v>430</v>
      </c>
      <c r="Q98" s="7">
        <v>325</v>
      </c>
      <c r="R98" s="7">
        <v>290</v>
      </c>
      <c r="S98" s="7">
        <v>343</v>
      </c>
      <c r="T98" s="7">
        <v>290</v>
      </c>
      <c r="U98" s="7">
        <v>371</v>
      </c>
      <c r="V98" s="7">
        <v>334</v>
      </c>
      <c r="W98" s="7">
        <v>391</v>
      </c>
      <c r="X98" s="7">
        <v>535</v>
      </c>
      <c r="Y98" s="7">
        <v>777</v>
      </c>
    </row>
    <row r="99" spans="2:25" ht="15.75" thickBot="1" x14ac:dyDescent="0.3">
      <c r="B99" s="6" t="s">
        <v>91</v>
      </c>
      <c r="C99" s="7"/>
      <c r="D99" s="7"/>
      <c r="E99" s="7"/>
      <c r="F99" s="7"/>
      <c r="G99" s="7"/>
      <c r="H99" s="7"/>
      <c r="I99" s="7"/>
      <c r="J99" s="7">
        <v>15</v>
      </c>
      <c r="K99" s="7">
        <v>92</v>
      </c>
      <c r="L99" s="7">
        <v>202</v>
      </c>
      <c r="M99" s="7">
        <v>81</v>
      </c>
      <c r="N99" s="7">
        <v>150</v>
      </c>
      <c r="O99" s="7">
        <v>207</v>
      </c>
      <c r="P99" s="7">
        <v>391</v>
      </c>
      <c r="Q99" s="7">
        <v>460</v>
      </c>
      <c r="R99" s="7">
        <v>386</v>
      </c>
      <c r="S99" s="7">
        <v>605</v>
      </c>
      <c r="T99" s="7">
        <v>835</v>
      </c>
      <c r="U99" s="7">
        <v>668</v>
      </c>
      <c r="V99" s="7">
        <v>902</v>
      </c>
      <c r="W99" s="7">
        <v>702</v>
      </c>
      <c r="X99" s="7">
        <v>799</v>
      </c>
      <c r="Y99" s="7">
        <v>1412</v>
      </c>
    </row>
    <row r="100" spans="2:25" ht="31.5" customHeight="1" thickBot="1" x14ac:dyDescent="0.3">
      <c r="B100" s="3" t="s">
        <v>92</v>
      </c>
      <c r="C100" s="27">
        <v>2003</v>
      </c>
      <c r="D100" s="27">
        <v>2004</v>
      </c>
      <c r="E100" s="27">
        <v>2005</v>
      </c>
      <c r="F100" s="27">
        <v>2006</v>
      </c>
      <c r="G100" s="27">
        <v>2007</v>
      </c>
      <c r="H100" s="27">
        <v>2008</v>
      </c>
      <c r="I100" s="27">
        <v>2009</v>
      </c>
      <c r="J100" s="27">
        <v>2010</v>
      </c>
      <c r="K100" s="27">
        <v>2011</v>
      </c>
      <c r="L100" s="27">
        <v>2012</v>
      </c>
      <c r="M100" s="27">
        <v>2013</v>
      </c>
      <c r="N100" s="27">
        <v>2014</v>
      </c>
      <c r="O100" s="27">
        <v>2015</v>
      </c>
      <c r="P100" s="27">
        <v>2016</v>
      </c>
      <c r="Q100" s="27">
        <v>2017</v>
      </c>
      <c r="R100" s="27">
        <v>2018</v>
      </c>
      <c r="S100" s="27">
        <v>2019</v>
      </c>
      <c r="T100" s="27">
        <v>2020</v>
      </c>
      <c r="U100" s="27">
        <v>2021</v>
      </c>
      <c r="V100" s="27">
        <v>2022</v>
      </c>
      <c r="W100" s="27">
        <v>2023</v>
      </c>
      <c r="X100" s="27">
        <v>2024</v>
      </c>
      <c r="Y100" s="28">
        <v>2025</v>
      </c>
    </row>
    <row r="101" spans="2:25" ht="16.5" thickTop="1" thickBot="1" x14ac:dyDescent="0.3">
      <c r="B101" s="6" t="s">
        <v>93</v>
      </c>
      <c r="C101" s="7"/>
      <c r="D101" s="7"/>
      <c r="E101" s="7"/>
      <c r="F101" s="7"/>
      <c r="G101" s="7"/>
      <c r="H101" s="7"/>
      <c r="I101" s="7"/>
      <c r="J101" s="7">
        <v>1091.3</v>
      </c>
      <c r="K101" s="7">
        <v>176</v>
      </c>
      <c r="L101" s="7">
        <v>1534.25</v>
      </c>
      <c r="M101" s="7">
        <v>90.02</v>
      </c>
      <c r="N101" s="7">
        <v>344.87</v>
      </c>
      <c r="O101" s="7">
        <v>17761.630000000005</v>
      </c>
      <c r="P101" s="7">
        <v>10571.859999999999</v>
      </c>
      <c r="Q101" s="7">
        <v>6102.554000000001</v>
      </c>
      <c r="R101" s="7">
        <v>3706.25</v>
      </c>
      <c r="S101" s="7">
        <v>1568.9840000000002</v>
      </c>
      <c r="T101" s="7">
        <v>1161.1670000000004</v>
      </c>
      <c r="U101" s="7">
        <v>519.70100000000002</v>
      </c>
      <c r="V101" s="7">
        <v>200.42300000000003</v>
      </c>
      <c r="W101" s="7">
        <v>240.1369999999998</v>
      </c>
      <c r="X101" s="7">
        <v>265.16999999999985</v>
      </c>
      <c r="Y101" s="7">
        <v>954.32000000000016</v>
      </c>
    </row>
    <row r="102" spans="2:25" ht="15.75" thickBot="1" x14ac:dyDescent="0.3">
      <c r="B102" s="6" t="s">
        <v>94</v>
      </c>
      <c r="C102" s="7"/>
      <c r="D102" s="7"/>
      <c r="E102" s="7"/>
      <c r="F102" s="7"/>
      <c r="G102" s="7"/>
      <c r="H102" s="7"/>
      <c r="I102" s="7"/>
      <c r="J102" s="7">
        <v>16269.83</v>
      </c>
      <c r="K102" s="7">
        <v>93.399999999999977</v>
      </c>
      <c r="L102" s="7">
        <v>138.39000000000001</v>
      </c>
      <c r="M102" s="7">
        <v>1004.69</v>
      </c>
      <c r="N102" s="7">
        <v>1246.5700000000004</v>
      </c>
      <c r="O102" s="7">
        <v>162.59217999999998</v>
      </c>
      <c r="P102" s="7">
        <v>75.784399999999991</v>
      </c>
      <c r="Q102" s="7">
        <v>54.257569999999994</v>
      </c>
      <c r="R102" s="7">
        <v>130.42349999999999</v>
      </c>
      <c r="S102" s="7">
        <v>532.5517000000001</v>
      </c>
      <c r="T102" s="7">
        <v>88.910240000000002</v>
      </c>
      <c r="U102" s="7">
        <v>78.99721000000001</v>
      </c>
      <c r="V102" s="7">
        <v>50.809369999999987</v>
      </c>
      <c r="W102" s="7">
        <v>81.578159999999997</v>
      </c>
      <c r="X102" s="7">
        <v>33.999299999999998</v>
      </c>
      <c r="Y102" s="7">
        <v>143.36628000000002</v>
      </c>
    </row>
    <row r="103" spans="2:25" ht="9.9499999999999993" customHeight="1" x14ac:dyDescent="0.25">
      <c r="Y103" s="14"/>
    </row>
    <row r="104" spans="2:25" ht="15" customHeight="1" x14ac:dyDescent="0.25">
      <c r="B104" s="44" t="s">
        <v>95</v>
      </c>
      <c r="C104" s="44"/>
      <c r="D104" s="44"/>
      <c r="E104" s="44"/>
      <c r="F104" s="44"/>
      <c r="G104" s="44"/>
      <c r="H104" s="44"/>
      <c r="I104" s="44"/>
      <c r="J104" s="44"/>
      <c r="K104" s="44"/>
      <c r="L104" s="44"/>
      <c r="M104" s="44"/>
      <c r="N104" s="44"/>
      <c r="O104" s="44"/>
      <c r="P104" s="44"/>
      <c r="Q104" s="44"/>
      <c r="R104" s="44"/>
      <c r="S104" s="44"/>
      <c r="T104" s="44"/>
      <c r="U104" s="44"/>
      <c r="V104" s="44"/>
      <c r="Y104" s="14"/>
    </row>
    <row r="105" spans="2:25" ht="18.75" customHeight="1" x14ac:dyDescent="0.25">
      <c r="B105" s="40" t="s">
        <v>43</v>
      </c>
      <c r="C105" s="40"/>
      <c r="D105" s="40"/>
      <c r="E105" s="40"/>
      <c r="F105" s="40"/>
      <c r="G105" s="40"/>
      <c r="H105" s="40"/>
      <c r="I105" s="40"/>
      <c r="J105" s="21"/>
      <c r="K105" s="21"/>
      <c r="L105" s="21"/>
      <c r="M105" s="21"/>
      <c r="N105" s="21"/>
      <c r="O105" s="21"/>
      <c r="P105" s="21"/>
      <c r="Q105" s="21"/>
      <c r="R105" s="21"/>
      <c r="S105" s="22"/>
      <c r="T105" s="22"/>
    </row>
    <row r="106" spans="2:25" ht="26.25" customHeight="1" x14ac:dyDescent="0.25">
      <c r="B106" s="23"/>
      <c r="C106" s="22"/>
      <c r="D106" s="30"/>
      <c r="E106" s="30"/>
      <c r="F106" s="30"/>
      <c r="G106" s="30"/>
      <c r="H106" s="30"/>
      <c r="I106" s="30"/>
      <c r="J106" s="31"/>
      <c r="K106" s="31"/>
      <c r="L106" s="31"/>
      <c r="M106" s="31"/>
      <c r="N106" s="31"/>
      <c r="O106" s="31"/>
      <c r="P106" s="31"/>
      <c r="Q106" s="31"/>
      <c r="R106" s="31"/>
      <c r="S106" s="22"/>
      <c r="T106" s="22"/>
      <c r="U106" s="22"/>
      <c r="V106" s="22"/>
      <c r="W106" s="22"/>
      <c r="X106" s="22"/>
      <c r="Y106" s="22"/>
    </row>
    <row r="107" spans="2:25" x14ac:dyDescent="0.25">
      <c r="C107" s="22">
        <v>2003</v>
      </c>
      <c r="D107" s="22">
        <v>2004</v>
      </c>
      <c r="E107" s="22">
        <v>2005</v>
      </c>
      <c r="F107" s="22">
        <v>2006</v>
      </c>
      <c r="G107" s="22">
        <v>2007</v>
      </c>
      <c r="H107" s="22">
        <v>2008</v>
      </c>
      <c r="I107" s="22">
        <v>2009</v>
      </c>
      <c r="J107" s="22">
        <v>2010</v>
      </c>
      <c r="K107" s="22">
        <v>2011</v>
      </c>
      <c r="L107" s="22">
        <v>2012</v>
      </c>
      <c r="M107" s="22">
        <v>2013</v>
      </c>
      <c r="N107" s="22">
        <v>2014</v>
      </c>
      <c r="O107" s="22">
        <v>2015</v>
      </c>
      <c r="P107" s="22">
        <v>2016</v>
      </c>
      <c r="Q107" s="22">
        <v>2017</v>
      </c>
      <c r="R107" s="22">
        <v>2018</v>
      </c>
      <c r="S107" s="22">
        <v>2019</v>
      </c>
      <c r="T107" s="22">
        <v>2020</v>
      </c>
      <c r="U107" s="22">
        <v>2021</v>
      </c>
      <c r="V107" s="22">
        <v>2022</v>
      </c>
      <c r="W107" s="22">
        <v>2023</v>
      </c>
      <c r="X107" s="22">
        <v>2024</v>
      </c>
      <c r="Y107" s="22">
        <v>2025</v>
      </c>
    </row>
    <row r="108" spans="2:25" x14ac:dyDescent="0.25">
      <c r="C108" s="22">
        <v>2003</v>
      </c>
      <c r="D108" s="22">
        <v>2004</v>
      </c>
      <c r="E108" s="22">
        <v>2005</v>
      </c>
      <c r="F108" s="22">
        <v>2006</v>
      </c>
      <c r="G108" s="22">
        <v>2007</v>
      </c>
      <c r="H108" s="22">
        <v>2008</v>
      </c>
      <c r="I108" s="22">
        <v>2009</v>
      </c>
      <c r="J108" s="22">
        <v>2010</v>
      </c>
      <c r="K108" s="22">
        <v>2011</v>
      </c>
      <c r="L108" s="22">
        <v>2012</v>
      </c>
      <c r="M108" s="22">
        <v>2013</v>
      </c>
      <c r="N108" s="22">
        <v>2014</v>
      </c>
      <c r="O108" s="22">
        <v>2015</v>
      </c>
      <c r="P108" s="22">
        <v>2016</v>
      </c>
      <c r="Q108" s="22">
        <v>2017</v>
      </c>
      <c r="R108" s="22">
        <v>2018</v>
      </c>
      <c r="S108" s="22">
        <v>2019</v>
      </c>
      <c r="T108" s="22">
        <v>2020</v>
      </c>
      <c r="U108" s="22">
        <v>2021</v>
      </c>
      <c r="V108" s="22">
        <v>2022</v>
      </c>
      <c r="W108" s="22">
        <v>2023</v>
      </c>
      <c r="X108" s="22">
        <v>2024</v>
      </c>
      <c r="Y108" s="22">
        <v>2025</v>
      </c>
    </row>
    <row r="109" spans="2:25" x14ac:dyDescent="0.25">
      <c r="C109" s="22"/>
      <c r="D109" s="22"/>
      <c r="E109" s="22"/>
      <c r="F109" s="22"/>
      <c r="G109" s="22"/>
      <c r="H109" s="22"/>
      <c r="I109" s="22"/>
      <c r="J109" s="22"/>
      <c r="K109" s="22"/>
      <c r="L109" s="22"/>
      <c r="M109" s="22"/>
      <c r="N109" s="22"/>
      <c r="O109" s="22"/>
      <c r="P109" s="22"/>
      <c r="Q109" s="22"/>
      <c r="R109" s="22"/>
      <c r="S109" s="22"/>
      <c r="T109" s="22"/>
      <c r="U109" s="22"/>
      <c r="V109" s="22"/>
      <c r="W109" s="22"/>
      <c r="X109" s="22"/>
      <c r="Y109" s="22"/>
    </row>
    <row r="110" spans="2:25" x14ac:dyDescent="0.25">
      <c r="Y110"/>
    </row>
  </sheetData>
  <protectedRanges>
    <protectedRange sqref="B100:B102" name="Rango1"/>
    <protectedRange sqref="D101" name="Rango1_1"/>
    <protectedRange sqref="K101" name="Rango1_2"/>
    <protectedRange sqref="B55:B56" name="Rango1_3"/>
    <protectedRange sqref="Y6 Y13 Y21 Y23 Y34 Y37 Y39 Y41 Y43:Y54 Y58 Y62:Y64 Y67 Y70 Y73 Y78:Y79 Y94 Y97 Y100 Y103:Y104" name="Rango1_5"/>
    <protectedRange sqref="B85" name="Rango1_4"/>
  </protectedRanges>
  <mergeCells count="12">
    <mergeCell ref="B105:I105"/>
    <mergeCell ref="B1:U1"/>
    <mergeCell ref="B2:U2"/>
    <mergeCell ref="B3:U3"/>
    <mergeCell ref="B4:U4"/>
    <mergeCell ref="B44:E45"/>
    <mergeCell ref="G44:W48"/>
    <mergeCell ref="B49:T49"/>
    <mergeCell ref="B50:T50"/>
    <mergeCell ref="B51:T51"/>
    <mergeCell ref="B52:T52"/>
    <mergeCell ref="B104:V104"/>
  </mergeCells>
  <printOptions horizontalCentered="1" verticalCentered="1"/>
  <pageMargins left="0" right="0" top="0" bottom="0" header="0" footer="0"/>
  <pageSetup scale="37" fitToHeight="2" orientation="landscape" r:id="rId1"/>
  <rowBreaks count="1" manualBreakCount="1">
    <brk id="47" max="25"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45543-3219-4750-8192-080C004FFF79}">
  <dimension ref="B1:Y103"/>
  <sheetViews>
    <sheetView showGridLines="0" view="pageBreakPreview" zoomScale="70" zoomScaleNormal="70" zoomScaleSheetLayoutView="70" workbookViewId="0"/>
  </sheetViews>
  <sheetFormatPr baseColWidth="10" defaultRowHeight="15" x14ac:dyDescent="0.25"/>
  <cols>
    <col min="1" max="1" width="0.7109375" customWidth="1"/>
    <col min="2" max="2" width="67.28515625" customWidth="1"/>
    <col min="3" max="4" width="11.42578125" customWidth="1"/>
    <col min="17" max="18" width="11" customWidth="1"/>
    <col min="19" max="19" width="10.7109375" customWidth="1"/>
    <col min="20" max="20" width="11.28515625" customWidth="1"/>
    <col min="21" max="21" width="11" customWidth="1"/>
    <col min="22" max="22" width="12" customWidth="1"/>
    <col min="23" max="24" width="11.42578125" style="1"/>
    <col min="25" max="25" width="13.7109375" style="1" customWidth="1"/>
  </cols>
  <sheetData>
    <row r="1" spans="2:25" ht="17.45" customHeight="1" x14ac:dyDescent="0.3">
      <c r="B1" s="41" t="s">
        <v>0</v>
      </c>
      <c r="C1" s="41"/>
      <c r="D1" s="41"/>
      <c r="E1" s="41"/>
      <c r="F1" s="41"/>
      <c r="G1" s="41"/>
      <c r="H1" s="41"/>
      <c r="I1" s="41"/>
      <c r="J1" s="41"/>
      <c r="K1" s="41"/>
      <c r="L1" s="41"/>
      <c r="M1" s="41"/>
      <c r="N1" s="41"/>
      <c r="O1" s="41"/>
      <c r="P1" s="41"/>
      <c r="Q1" s="41"/>
      <c r="R1" s="41"/>
      <c r="S1" s="41"/>
      <c r="T1" s="41"/>
      <c r="U1" s="41"/>
      <c r="V1" s="1"/>
    </row>
    <row r="2" spans="2:25" ht="17.25" x14ac:dyDescent="0.3">
      <c r="B2" s="41" t="s">
        <v>1</v>
      </c>
      <c r="C2" s="41"/>
      <c r="D2" s="41"/>
      <c r="E2" s="41"/>
      <c r="F2" s="41"/>
      <c r="G2" s="41"/>
      <c r="H2" s="41"/>
      <c r="I2" s="41"/>
      <c r="J2" s="41"/>
      <c r="K2" s="41"/>
      <c r="L2" s="41"/>
      <c r="M2" s="41"/>
      <c r="N2" s="41"/>
      <c r="O2" s="41"/>
      <c r="P2" s="41"/>
      <c r="Q2" s="41"/>
      <c r="R2" s="41"/>
      <c r="S2" s="41"/>
      <c r="T2" s="41"/>
      <c r="U2" s="41"/>
      <c r="V2" s="1"/>
    </row>
    <row r="3" spans="2:25" ht="17.25" x14ac:dyDescent="0.3">
      <c r="B3" s="42" t="s">
        <v>2</v>
      </c>
      <c r="C3" s="42"/>
      <c r="D3" s="42"/>
      <c r="E3" s="42"/>
      <c r="F3" s="42"/>
      <c r="G3" s="42"/>
      <c r="H3" s="42"/>
      <c r="I3" s="42"/>
      <c r="J3" s="42"/>
      <c r="K3" s="42"/>
      <c r="L3" s="42"/>
      <c r="M3" s="42"/>
      <c r="N3" s="42"/>
      <c r="O3" s="42"/>
      <c r="P3" s="42"/>
      <c r="Q3" s="42"/>
      <c r="R3" s="42"/>
      <c r="S3" s="42"/>
      <c r="T3" s="42"/>
      <c r="U3" s="42"/>
      <c r="V3" s="1"/>
    </row>
    <row r="4" spans="2:25" ht="17.25" x14ac:dyDescent="0.3">
      <c r="B4" s="42" t="s">
        <v>102</v>
      </c>
      <c r="C4" s="42"/>
      <c r="D4" s="42"/>
      <c r="E4" s="42"/>
      <c r="F4" s="42"/>
      <c r="G4" s="42"/>
      <c r="H4" s="42"/>
      <c r="I4" s="42"/>
      <c r="J4" s="42"/>
      <c r="K4" s="42"/>
      <c r="L4" s="42"/>
      <c r="M4" s="42"/>
      <c r="N4" s="42"/>
      <c r="O4" s="42"/>
      <c r="P4" s="42"/>
      <c r="Q4" s="42"/>
      <c r="R4" s="42"/>
      <c r="S4" s="42"/>
      <c r="T4" s="42"/>
      <c r="U4" s="42"/>
      <c r="V4" s="1"/>
    </row>
    <row r="5" spans="2:25" ht="18" thickBot="1" x14ac:dyDescent="0.35">
      <c r="B5" s="2" t="s">
        <v>4</v>
      </c>
      <c r="C5" s="25"/>
      <c r="D5" s="13"/>
      <c r="E5" s="13"/>
      <c r="F5" s="13"/>
      <c r="G5" s="13"/>
      <c r="H5" s="13"/>
      <c r="I5" s="13"/>
      <c r="J5" s="13"/>
      <c r="K5" s="13"/>
      <c r="L5" s="13"/>
      <c r="M5" s="13"/>
      <c r="N5" s="13"/>
      <c r="O5" s="13"/>
      <c r="P5" s="13"/>
      <c r="Q5" s="13"/>
      <c r="R5" s="13"/>
      <c r="S5" s="13"/>
      <c r="T5" s="13"/>
      <c r="U5" s="13"/>
      <c r="V5" s="13"/>
    </row>
    <row r="6" spans="2:25" ht="32.1" customHeight="1" thickBot="1" x14ac:dyDescent="0.3">
      <c r="B6" s="3" t="s">
        <v>5</v>
      </c>
      <c r="C6" s="9">
        <v>2003</v>
      </c>
      <c r="D6" s="9">
        <v>2004</v>
      </c>
      <c r="E6" s="9">
        <v>2005</v>
      </c>
      <c r="F6" s="9">
        <v>2006</v>
      </c>
      <c r="G6" s="9">
        <v>2007</v>
      </c>
      <c r="H6" s="9">
        <v>2008</v>
      </c>
      <c r="I6" s="9">
        <v>2009</v>
      </c>
      <c r="J6" s="9">
        <v>2010</v>
      </c>
      <c r="K6" s="9">
        <v>2011</v>
      </c>
      <c r="L6" s="9">
        <v>2012</v>
      </c>
      <c r="M6" s="9">
        <v>2013</v>
      </c>
      <c r="N6" s="9">
        <v>2014</v>
      </c>
      <c r="O6" s="9">
        <v>2015</v>
      </c>
      <c r="P6" s="9">
        <v>2016</v>
      </c>
      <c r="Q6" s="9">
        <v>2017</v>
      </c>
      <c r="R6" s="9">
        <v>2018</v>
      </c>
      <c r="S6" s="9">
        <v>2019</v>
      </c>
      <c r="T6" s="9">
        <v>2020</v>
      </c>
      <c r="U6" s="9">
        <v>2021</v>
      </c>
      <c r="V6" s="28">
        <v>2022</v>
      </c>
      <c r="W6" s="28">
        <v>2023</v>
      </c>
      <c r="X6" s="28">
        <v>2024</v>
      </c>
      <c r="Y6" s="28">
        <v>2025</v>
      </c>
    </row>
    <row r="7" spans="2:25" ht="16.5" thickTop="1" thickBot="1" x14ac:dyDescent="0.3">
      <c r="B7" s="6" t="s">
        <v>6</v>
      </c>
      <c r="C7" s="20">
        <v>55.584151613925989</v>
      </c>
      <c r="D7" s="20">
        <v>46.040004814012633</v>
      </c>
      <c r="E7" s="20">
        <v>40.526131315704085</v>
      </c>
      <c r="F7" s="20">
        <v>37.633276220232304</v>
      </c>
      <c r="G7" s="20">
        <v>35.751265335994148</v>
      </c>
      <c r="H7" s="20">
        <v>34.200385278282795</v>
      </c>
      <c r="I7" s="20">
        <v>35.169644173641778</v>
      </c>
      <c r="J7" s="20">
        <v>33.731573524033273</v>
      </c>
      <c r="K7" s="20">
        <v>35.155553504584255</v>
      </c>
      <c r="L7" s="20">
        <v>35.183216159275858</v>
      </c>
      <c r="M7" s="20">
        <v>32.618067389631527</v>
      </c>
      <c r="N7" s="20">
        <v>27.996767104877883</v>
      </c>
      <c r="O7" s="20">
        <v>26.631314859310695</v>
      </c>
      <c r="P7" s="20">
        <v>25.720628153045787</v>
      </c>
      <c r="Q7" s="20">
        <v>25.215524513277323</v>
      </c>
      <c r="R7" s="20">
        <v>26.053444601897439</v>
      </c>
      <c r="S7" s="20">
        <v>25.467596395978884</v>
      </c>
      <c r="T7" s="20">
        <v>23.833720408034882</v>
      </c>
      <c r="U7" s="20">
        <v>26.772629283676931</v>
      </c>
      <c r="V7" s="20">
        <v>26.210429121227399</v>
      </c>
      <c r="W7" s="20">
        <v>26.008754483440139</v>
      </c>
      <c r="X7" s="20">
        <v>25.652988487629841</v>
      </c>
      <c r="Y7" s="20">
        <v>26.458231540699877</v>
      </c>
    </row>
    <row r="8" spans="2:25" ht="15.75" thickBot="1" x14ac:dyDescent="0.3">
      <c r="B8" s="6" t="s">
        <v>7</v>
      </c>
      <c r="C8" s="20">
        <v>10.126985666960918</v>
      </c>
      <c r="D8" s="20">
        <v>9.8426503989878817</v>
      </c>
      <c r="E8" s="20">
        <v>9.3324327739680939</v>
      </c>
      <c r="F8" s="20">
        <v>9.6181832608230771</v>
      </c>
      <c r="G8" s="20">
        <v>9.6275946977200153</v>
      </c>
      <c r="H8" s="20">
        <v>8.8375724431137499</v>
      </c>
      <c r="I8" s="20">
        <v>10.933615662771338</v>
      </c>
      <c r="J8" s="20">
        <v>10.207254445440773</v>
      </c>
      <c r="K8" s="20">
        <v>9.6401137906013759</v>
      </c>
      <c r="L8" s="20">
        <v>10.108535988665817</v>
      </c>
      <c r="M8" s="20">
        <v>10.83307204397884</v>
      </c>
      <c r="N8" s="20">
        <v>10.541575340867888</v>
      </c>
      <c r="O8" s="20">
        <v>11.538653041037488</v>
      </c>
      <c r="P8" s="20">
        <v>11.977335268612189</v>
      </c>
      <c r="Q8" s="20">
        <v>11.094662077808145</v>
      </c>
      <c r="R8" s="20">
        <v>12.468271388659579</v>
      </c>
      <c r="S8" s="20">
        <v>12.2862326440472</v>
      </c>
      <c r="T8" s="20">
        <v>10.057393424473004</v>
      </c>
      <c r="U8" s="20">
        <v>13.690526834283606</v>
      </c>
      <c r="V8" s="20">
        <v>14.584585707822455</v>
      </c>
      <c r="W8" s="20">
        <v>14.551854961446697</v>
      </c>
      <c r="X8" s="20">
        <v>13.54398725367491</v>
      </c>
      <c r="Y8" s="20">
        <v>14.254424073394583</v>
      </c>
    </row>
    <row r="9" spans="2:25" ht="15.75" thickBot="1" x14ac:dyDescent="0.3">
      <c r="B9" s="6" t="s">
        <v>9</v>
      </c>
      <c r="C9" s="20"/>
      <c r="D9" s="20"/>
      <c r="E9" s="20"/>
      <c r="F9" s="20"/>
      <c r="G9" s="20"/>
      <c r="H9" s="20"/>
      <c r="I9" s="20"/>
      <c r="J9" s="20"/>
      <c r="K9" s="20"/>
      <c r="L9" s="20"/>
      <c r="M9" s="20"/>
      <c r="N9" s="20"/>
      <c r="O9" s="20"/>
      <c r="P9" s="20"/>
      <c r="Q9" s="20"/>
      <c r="R9" s="20"/>
      <c r="S9" s="20"/>
      <c r="T9" s="20"/>
      <c r="U9" s="20"/>
      <c r="V9" s="20">
        <v>0.65835888750127924</v>
      </c>
      <c r="W9" s="20">
        <v>0.63894616325972453</v>
      </c>
      <c r="X9" s="20">
        <v>0.57399440788799083</v>
      </c>
      <c r="Y9" s="20">
        <v>0.59369874165268999</v>
      </c>
    </row>
    <row r="10" spans="2:25" ht="15.75" thickBot="1" x14ac:dyDescent="0.3">
      <c r="B10" s="6" t="s">
        <v>10</v>
      </c>
      <c r="C10" s="20">
        <v>98.392229827577808</v>
      </c>
      <c r="D10" s="20">
        <v>78.988847577866736</v>
      </c>
      <c r="E10" s="20">
        <v>72.972473186833568</v>
      </c>
      <c r="F10" s="20">
        <v>110.33877394627658</v>
      </c>
      <c r="G10" s="20">
        <v>112.42273837673642</v>
      </c>
      <c r="H10" s="20">
        <v>136.58361566463887</v>
      </c>
      <c r="I10" s="20">
        <v>126.40387923216116</v>
      </c>
      <c r="J10" s="20">
        <v>120.53860188559291</v>
      </c>
      <c r="K10" s="20">
        <v>139.5762785057828</v>
      </c>
      <c r="L10" s="20">
        <v>182.62251333403449</v>
      </c>
      <c r="M10" s="20">
        <v>182.5467280226747</v>
      </c>
      <c r="N10" s="20">
        <v>179.29617160943363</v>
      </c>
      <c r="O10" s="20">
        <v>187.77516848182375</v>
      </c>
      <c r="P10" s="20">
        <v>271.66706142688179</v>
      </c>
      <c r="Q10" s="20">
        <v>279.74955292371021</v>
      </c>
      <c r="R10" s="20">
        <v>286.58789062087186</v>
      </c>
      <c r="S10" s="20">
        <v>242.13803912214146</v>
      </c>
      <c r="T10" s="20">
        <v>168.50698312132039</v>
      </c>
      <c r="U10" s="20">
        <v>206.01327926325166</v>
      </c>
      <c r="V10" s="20">
        <v>192.68615557427145</v>
      </c>
      <c r="W10" s="20">
        <v>189.7382291294328</v>
      </c>
      <c r="X10" s="20">
        <v>172.85594509861329</v>
      </c>
      <c r="Y10" s="20">
        <v>165.8888522073116</v>
      </c>
    </row>
    <row r="11" spans="2:25" ht="15.75" thickBot="1" x14ac:dyDescent="0.3">
      <c r="B11" s="6" t="s">
        <v>11</v>
      </c>
      <c r="C11" s="20">
        <v>35.799545546296201</v>
      </c>
      <c r="D11" s="20">
        <v>29.758600379969035</v>
      </c>
      <c r="E11" s="20">
        <v>24.1481797388637</v>
      </c>
      <c r="F11" s="20">
        <v>31.171355760236523</v>
      </c>
      <c r="G11" s="20">
        <v>37.961837968073517</v>
      </c>
      <c r="H11" s="20">
        <v>39.931360902463595</v>
      </c>
      <c r="I11" s="20">
        <v>87.145594805431855</v>
      </c>
      <c r="J11" s="20">
        <v>81.667108678588804</v>
      </c>
      <c r="K11" s="20">
        <v>82.965580012989349</v>
      </c>
      <c r="L11" s="20">
        <v>84.728153157142003</v>
      </c>
      <c r="M11" s="20">
        <v>90.855183660188231</v>
      </c>
      <c r="N11" s="20">
        <v>88.152424856664013</v>
      </c>
      <c r="O11" s="20">
        <v>91.955118958028535</v>
      </c>
      <c r="P11" s="20">
        <v>164.50311590088737</v>
      </c>
      <c r="Q11" s="20">
        <v>141.8855653406215</v>
      </c>
      <c r="R11" s="20">
        <v>101.53445733304483</v>
      </c>
      <c r="S11" s="20">
        <v>81.495496556830489</v>
      </c>
      <c r="T11" s="20">
        <v>54.535759411590895</v>
      </c>
      <c r="U11" s="20">
        <v>66.73887288150199</v>
      </c>
      <c r="V11" s="20">
        <v>88.607360858995705</v>
      </c>
      <c r="W11" s="20">
        <v>98.505159547831042</v>
      </c>
      <c r="X11" s="20">
        <v>89.984076976983559</v>
      </c>
      <c r="Y11" s="20">
        <v>91.282595097533587</v>
      </c>
    </row>
    <row r="12" spans="2:25" ht="32.1" customHeight="1" thickBot="1" x14ac:dyDescent="0.3">
      <c r="B12" s="3" t="s">
        <v>12</v>
      </c>
      <c r="C12" s="9">
        <v>2003</v>
      </c>
      <c r="D12" s="9">
        <v>2004</v>
      </c>
      <c r="E12" s="9">
        <v>2005</v>
      </c>
      <c r="F12" s="9">
        <v>2006</v>
      </c>
      <c r="G12" s="9">
        <v>2007</v>
      </c>
      <c r="H12" s="9">
        <v>2008</v>
      </c>
      <c r="I12" s="9">
        <v>2009</v>
      </c>
      <c r="J12" s="9">
        <v>2010</v>
      </c>
      <c r="K12" s="9">
        <v>2011</v>
      </c>
      <c r="L12" s="9">
        <v>2012</v>
      </c>
      <c r="M12" s="9">
        <v>2013</v>
      </c>
      <c r="N12" s="9">
        <v>2014</v>
      </c>
      <c r="O12" s="9">
        <v>2015</v>
      </c>
      <c r="P12" s="9">
        <v>2016</v>
      </c>
      <c r="Q12" s="9">
        <v>2017</v>
      </c>
      <c r="R12" s="9">
        <v>2018</v>
      </c>
      <c r="S12" s="9">
        <v>2019</v>
      </c>
      <c r="T12" s="9">
        <v>2020</v>
      </c>
      <c r="U12" s="9">
        <v>2021</v>
      </c>
      <c r="V12" s="28">
        <v>2022</v>
      </c>
      <c r="W12" s="28">
        <v>2023</v>
      </c>
      <c r="X12" s="28">
        <v>2024</v>
      </c>
      <c r="Y12" s="28">
        <v>2025</v>
      </c>
    </row>
    <row r="13" spans="2:25" ht="16.5" thickTop="1" thickBot="1" x14ac:dyDescent="0.3">
      <c r="B13" s="6" t="s">
        <v>97</v>
      </c>
      <c r="C13" s="19">
        <v>5.2121661246357931</v>
      </c>
      <c r="D13" s="19">
        <v>3.4961560371343241</v>
      </c>
      <c r="E13" s="19">
        <v>1.9197598917908139</v>
      </c>
      <c r="F13" s="19">
        <v>1.6291153600062758</v>
      </c>
      <c r="G13" s="19">
        <v>1.2213237977872238</v>
      </c>
      <c r="H13" s="19">
        <v>1.0131214999057472</v>
      </c>
      <c r="I13" s="19">
        <v>0.48843543124376987</v>
      </c>
      <c r="J13" s="19">
        <v>0.63965461191428852</v>
      </c>
      <c r="K13" s="19">
        <v>0.68457152645714081</v>
      </c>
      <c r="L13" s="19">
        <v>0.67775411662850615</v>
      </c>
      <c r="M13" s="19">
        <v>0.65808381575572383</v>
      </c>
      <c r="N13" s="19">
        <v>0.62791596652946269</v>
      </c>
      <c r="O13" s="19">
        <v>0.45990514553536394</v>
      </c>
      <c r="P13" s="19">
        <v>0.44202324845832114</v>
      </c>
      <c r="Q13" s="19">
        <v>0.41122583257414724</v>
      </c>
      <c r="R13" s="19">
        <v>0.36470263659698954</v>
      </c>
      <c r="S13" s="19">
        <v>0.33085344803893824</v>
      </c>
      <c r="T13" s="19">
        <v>0.32148731940896341</v>
      </c>
      <c r="U13" s="19">
        <v>0.31301576071525822</v>
      </c>
      <c r="V13" s="20">
        <v>0.43180597621407429</v>
      </c>
      <c r="W13" s="20">
        <v>0.64853994949485549</v>
      </c>
      <c r="X13" s="20">
        <v>0.59490148897000372</v>
      </c>
      <c r="Y13" s="20">
        <v>1.3212152949159861</v>
      </c>
    </row>
    <row r="14" spans="2:25" ht="15.75" thickBot="1" x14ac:dyDescent="0.3">
      <c r="B14" s="6" t="s">
        <v>17</v>
      </c>
      <c r="C14" s="19">
        <v>3.0914214921225027</v>
      </c>
      <c r="D14" s="19">
        <v>1.8427655779062169</v>
      </c>
      <c r="E14" s="19">
        <v>0.90228714914168251</v>
      </c>
      <c r="F14" s="19">
        <v>0.69006196471881542</v>
      </c>
      <c r="G14" s="19">
        <v>0.54150824815517984</v>
      </c>
      <c r="H14" s="19">
        <v>0.45903445533486947</v>
      </c>
      <c r="I14" s="19">
        <v>0.36689985445541395</v>
      </c>
      <c r="J14" s="19">
        <v>0.43550952300547302</v>
      </c>
      <c r="K14" s="19">
        <v>0.46685533607568952</v>
      </c>
      <c r="L14" s="19">
        <v>0.39109745746431834</v>
      </c>
      <c r="M14" s="19">
        <v>0.35875472230161537</v>
      </c>
      <c r="N14" s="19">
        <v>0.36410405003618146</v>
      </c>
      <c r="O14" s="19">
        <v>0.26557902770351999</v>
      </c>
      <c r="P14" s="19">
        <v>0.22635006925885046</v>
      </c>
      <c r="Q14" s="19">
        <v>0.23197354658028815</v>
      </c>
      <c r="R14" s="19">
        <v>0.22586697380154466</v>
      </c>
      <c r="S14" s="19">
        <v>0.21718600576789199</v>
      </c>
      <c r="T14" s="19">
        <v>0.15875917007850046</v>
      </c>
      <c r="U14" s="19">
        <v>0.193678501942566</v>
      </c>
      <c r="V14" s="20">
        <v>0.27302530334611869</v>
      </c>
      <c r="W14" s="20">
        <v>0.42404535159279011</v>
      </c>
      <c r="X14" s="20">
        <v>0.39723454055824531</v>
      </c>
      <c r="Y14" s="20">
        <v>0.93672468127424413</v>
      </c>
    </row>
    <row r="15" spans="2:25" ht="15.75" thickBot="1" x14ac:dyDescent="0.3">
      <c r="B15" s="6" t="s">
        <v>18</v>
      </c>
      <c r="C15" s="19">
        <v>2.1207446325132908</v>
      </c>
      <c r="D15" s="19">
        <v>1.6533904592281075</v>
      </c>
      <c r="E15" s="19">
        <v>1.0174727426491315</v>
      </c>
      <c r="F15" s="19">
        <v>0.93905339528746012</v>
      </c>
      <c r="G15" s="19">
        <v>0.67981554963204405</v>
      </c>
      <c r="H15" s="19">
        <v>0.55408704457087776</v>
      </c>
      <c r="I15" s="19">
        <v>0.12153557678835589</v>
      </c>
      <c r="J15" s="19">
        <v>0.2041450889088155</v>
      </c>
      <c r="K15" s="19">
        <v>0.21771619038145132</v>
      </c>
      <c r="L15" s="19">
        <v>0.28665665916418787</v>
      </c>
      <c r="M15" s="19">
        <v>0.29932909345410852</v>
      </c>
      <c r="N15" s="19">
        <v>0.26381191649328117</v>
      </c>
      <c r="O15" s="19">
        <v>0.19432611783184392</v>
      </c>
      <c r="P15" s="19">
        <v>0.21567317919947071</v>
      </c>
      <c r="Q15" s="19">
        <v>0.17925228599385903</v>
      </c>
      <c r="R15" s="19">
        <v>0.13883566279544488</v>
      </c>
      <c r="S15" s="19">
        <v>0.11366744227104626</v>
      </c>
      <c r="T15" s="19">
        <v>0.16272814933046295</v>
      </c>
      <c r="U15" s="19">
        <v>0.1193372587726922</v>
      </c>
      <c r="V15" s="20">
        <v>0.15878067286795558</v>
      </c>
      <c r="W15" s="20">
        <v>0.22449459790206536</v>
      </c>
      <c r="X15" s="20">
        <v>0.19766694841175841</v>
      </c>
      <c r="Y15" s="20">
        <v>0.38449061364174208</v>
      </c>
    </row>
    <row r="16" spans="2:25" ht="32.1" customHeight="1" thickBot="1" x14ac:dyDescent="0.3">
      <c r="B16" s="3" t="s">
        <v>20</v>
      </c>
      <c r="C16" s="9">
        <v>2003</v>
      </c>
      <c r="D16" s="9">
        <v>2004</v>
      </c>
      <c r="E16" s="9">
        <v>2005</v>
      </c>
      <c r="F16" s="9">
        <v>2006</v>
      </c>
      <c r="G16" s="9">
        <v>2007</v>
      </c>
      <c r="H16" s="9">
        <v>2008</v>
      </c>
      <c r="I16" s="9">
        <v>2009</v>
      </c>
      <c r="J16" s="9">
        <v>2010</v>
      </c>
      <c r="K16" s="9">
        <v>2011</v>
      </c>
      <c r="L16" s="9">
        <v>2012</v>
      </c>
      <c r="M16" s="9">
        <v>2013</v>
      </c>
      <c r="N16" s="9">
        <v>2014</v>
      </c>
      <c r="O16" s="9">
        <v>2015</v>
      </c>
      <c r="P16" s="9">
        <v>2016</v>
      </c>
      <c r="Q16" s="9">
        <v>2017</v>
      </c>
      <c r="R16" s="9">
        <v>2018</v>
      </c>
      <c r="S16" s="9">
        <v>2019</v>
      </c>
      <c r="T16" s="9">
        <v>2020</v>
      </c>
      <c r="U16" s="9">
        <v>2021</v>
      </c>
      <c r="V16" s="28">
        <v>2022</v>
      </c>
      <c r="W16" s="28">
        <v>2023</v>
      </c>
      <c r="X16" s="28">
        <v>2024</v>
      </c>
      <c r="Y16" s="28">
        <v>2025</v>
      </c>
    </row>
    <row r="17" spans="2:25" ht="16.5" thickTop="1" thickBot="1" x14ac:dyDescent="0.3">
      <c r="B17" s="6" t="s">
        <v>21</v>
      </c>
      <c r="C17" s="20">
        <v>10.212995008951607</v>
      </c>
      <c r="D17" s="20">
        <v>10.541881606414748</v>
      </c>
      <c r="E17" s="20">
        <v>10.988225680637672</v>
      </c>
      <c r="F17" s="20">
        <v>16.215270497413265</v>
      </c>
      <c r="G17" s="20">
        <v>17.00007712390201</v>
      </c>
      <c r="H17" s="20">
        <v>16.073161004225504</v>
      </c>
      <c r="I17" s="20">
        <v>17.856557291526929</v>
      </c>
      <c r="J17" s="20">
        <v>15.621635859055688</v>
      </c>
      <c r="K17" s="20">
        <v>18.514854169655589</v>
      </c>
      <c r="L17" s="20">
        <v>25.527997678125502</v>
      </c>
      <c r="M17" s="20">
        <v>25.821536208850009</v>
      </c>
      <c r="N17" s="20">
        <v>27.883393388698952</v>
      </c>
      <c r="O17" s="20">
        <v>47.34863819927228</v>
      </c>
      <c r="P17" s="20">
        <v>51.15084489647645</v>
      </c>
      <c r="Q17" s="20">
        <v>59.832304214326683</v>
      </c>
      <c r="R17" s="20">
        <v>76.287088444989607</v>
      </c>
      <c r="S17" s="20">
        <v>77.506987198569675</v>
      </c>
      <c r="T17" s="20">
        <v>61.364388214592388</v>
      </c>
      <c r="U17" s="20">
        <v>67.938114514742338</v>
      </c>
      <c r="V17" s="20">
        <v>53.56524089690555</v>
      </c>
      <c r="W17" s="20">
        <v>53.826897050825977</v>
      </c>
      <c r="X17" s="20">
        <v>59.820860906843123</v>
      </c>
      <c r="Y17" s="20">
        <v>62.168739661631669</v>
      </c>
    </row>
    <row r="18" spans="2:25" ht="32.1" customHeight="1" thickBot="1" x14ac:dyDescent="0.3">
      <c r="B18" s="3" t="s">
        <v>22</v>
      </c>
      <c r="C18" s="9">
        <v>2003</v>
      </c>
      <c r="D18" s="9">
        <v>2004</v>
      </c>
      <c r="E18" s="9">
        <v>2005</v>
      </c>
      <c r="F18" s="9">
        <v>2006</v>
      </c>
      <c r="G18" s="9">
        <v>2007</v>
      </c>
      <c r="H18" s="9">
        <v>2008</v>
      </c>
      <c r="I18" s="9">
        <v>2009</v>
      </c>
      <c r="J18" s="9">
        <v>2010</v>
      </c>
      <c r="K18" s="9">
        <v>2011</v>
      </c>
      <c r="L18" s="9">
        <v>2012</v>
      </c>
      <c r="M18" s="9">
        <v>2013</v>
      </c>
      <c r="N18" s="9">
        <v>2014</v>
      </c>
      <c r="O18" s="9">
        <v>2015</v>
      </c>
      <c r="P18" s="9">
        <v>2016</v>
      </c>
      <c r="Q18" s="9">
        <v>2017</v>
      </c>
      <c r="R18" s="9">
        <v>2018</v>
      </c>
      <c r="S18" s="9">
        <v>2019</v>
      </c>
      <c r="T18" s="9">
        <v>2020</v>
      </c>
      <c r="U18" s="9">
        <v>2021</v>
      </c>
      <c r="V18" s="28">
        <v>2022</v>
      </c>
      <c r="W18" s="28">
        <v>2023</v>
      </c>
      <c r="X18" s="28">
        <v>2024</v>
      </c>
      <c r="Y18" s="28">
        <v>2025</v>
      </c>
    </row>
    <row r="19" spans="2:25" ht="16.5" thickTop="1" thickBot="1" x14ac:dyDescent="0.3">
      <c r="B19" s="6" t="s">
        <v>25</v>
      </c>
      <c r="C19" s="20">
        <v>78.949203718139628</v>
      </c>
      <c r="D19" s="20">
        <v>69.354995386652163</v>
      </c>
      <c r="E19" s="20">
        <v>99.162797510589769</v>
      </c>
      <c r="F19" s="20">
        <v>129.89527230722527</v>
      </c>
      <c r="G19" s="20">
        <v>119.76709050431297</v>
      </c>
      <c r="H19" s="20">
        <v>154.24021370418617</v>
      </c>
      <c r="I19" s="20">
        <v>140.04567444563151</v>
      </c>
      <c r="J19" s="20">
        <v>139.36758391928265</v>
      </c>
      <c r="K19" s="20">
        <v>152.32502037554201</v>
      </c>
      <c r="L19" s="20">
        <v>183.67358775096986</v>
      </c>
      <c r="M19" s="20">
        <v>205.68970903495375</v>
      </c>
      <c r="N19" s="20">
        <v>205.8757672620749</v>
      </c>
      <c r="O19" s="20">
        <v>219.04440002005447</v>
      </c>
      <c r="P19" s="20">
        <v>313.61015633614915</v>
      </c>
      <c r="Q19" s="20">
        <v>442.39675068326756</v>
      </c>
      <c r="R19" s="20">
        <v>532.69171640540628</v>
      </c>
      <c r="S19" s="20">
        <v>622.80827351212054</v>
      </c>
      <c r="T19" s="20">
        <v>412.84726832026251</v>
      </c>
      <c r="U19" s="20">
        <v>550.54972708253638</v>
      </c>
      <c r="V19" s="20">
        <v>680.97545163661721</v>
      </c>
      <c r="W19" s="20">
        <v>750.24367737347916</v>
      </c>
      <c r="X19" s="20">
        <v>601.01395922089034</v>
      </c>
      <c r="Y19" s="20">
        <v>545.39993545081109</v>
      </c>
    </row>
    <row r="20" spans="2:25" ht="15.75" thickBot="1" x14ac:dyDescent="0.3">
      <c r="B20" s="6" t="s">
        <v>29</v>
      </c>
      <c r="C20" s="20">
        <v>5.5856924098525029</v>
      </c>
      <c r="D20" s="20">
        <v>5.7079603078491639</v>
      </c>
      <c r="E20" s="20">
        <v>4.3674537538241021</v>
      </c>
      <c r="F20" s="20">
        <v>3.9174651742800104</v>
      </c>
      <c r="G20" s="20">
        <v>2.5364152575926608</v>
      </c>
      <c r="H20" s="20">
        <v>1.9242353430704122</v>
      </c>
      <c r="I20" s="20">
        <v>3.1484593760455208</v>
      </c>
      <c r="J20" s="20">
        <v>3.0667128911635393</v>
      </c>
      <c r="K20" s="20">
        <v>4.0513167385414395</v>
      </c>
      <c r="L20" s="20">
        <v>5.1464869970872797</v>
      </c>
      <c r="M20" s="20">
        <v>10.575560985639642</v>
      </c>
      <c r="N20" s="20">
        <v>10.657129320819491</v>
      </c>
      <c r="O20" s="20">
        <v>11.832301396872275</v>
      </c>
      <c r="P20" s="20">
        <v>10.467623014215896</v>
      </c>
      <c r="Q20" s="20">
        <v>11.666160542565036</v>
      </c>
      <c r="R20" s="20">
        <v>14.604682856452172</v>
      </c>
      <c r="S20" s="20">
        <v>16.972984861973014</v>
      </c>
      <c r="T20" s="20">
        <v>16.249001057534521</v>
      </c>
      <c r="U20" s="20">
        <v>16.319859224291775</v>
      </c>
      <c r="V20" s="20">
        <v>18.95879961036772</v>
      </c>
      <c r="W20" s="20">
        <v>21.255992782556241</v>
      </c>
      <c r="X20" s="20">
        <v>26.232684826722014</v>
      </c>
      <c r="Y20" s="20">
        <v>25.287796878584576</v>
      </c>
    </row>
    <row r="21" spans="2:25" ht="32.1" customHeight="1" thickBot="1" x14ac:dyDescent="0.3">
      <c r="B21" s="3" t="s">
        <v>36</v>
      </c>
      <c r="C21" s="9">
        <v>2003</v>
      </c>
      <c r="D21" s="9">
        <v>2004</v>
      </c>
      <c r="E21" s="9">
        <v>2005</v>
      </c>
      <c r="F21" s="9">
        <v>2006</v>
      </c>
      <c r="G21" s="9">
        <v>2007</v>
      </c>
      <c r="H21" s="9">
        <v>2008</v>
      </c>
      <c r="I21" s="9">
        <v>2009</v>
      </c>
      <c r="J21" s="9">
        <v>2010</v>
      </c>
      <c r="K21" s="9">
        <v>2011</v>
      </c>
      <c r="L21" s="9">
        <v>2012</v>
      </c>
      <c r="M21" s="9">
        <v>2013</v>
      </c>
      <c r="N21" s="9">
        <v>2014</v>
      </c>
      <c r="O21" s="9">
        <v>2015</v>
      </c>
      <c r="P21" s="9">
        <v>2016</v>
      </c>
      <c r="Q21" s="9">
        <v>2017</v>
      </c>
      <c r="R21" s="9">
        <v>2018</v>
      </c>
      <c r="S21" s="9">
        <v>2019</v>
      </c>
      <c r="T21" s="9">
        <v>2020</v>
      </c>
      <c r="U21" s="9">
        <v>2021</v>
      </c>
      <c r="V21" s="28">
        <v>2022</v>
      </c>
      <c r="W21" s="28">
        <v>2023</v>
      </c>
      <c r="X21" s="28">
        <v>2024</v>
      </c>
      <c r="Y21" s="28">
        <v>2025</v>
      </c>
    </row>
    <row r="22" spans="2:25" ht="16.5" thickTop="1" thickBot="1" x14ac:dyDescent="0.3">
      <c r="B22" s="6" t="s">
        <v>37</v>
      </c>
      <c r="C22" s="20">
        <v>27.223185444938856</v>
      </c>
      <c r="D22" s="20">
        <v>28.811724786578491</v>
      </c>
      <c r="E22" s="20">
        <v>32.595123262743286</v>
      </c>
      <c r="F22" s="20">
        <v>48.337536387726232</v>
      </c>
      <c r="G22" s="20">
        <v>47.458157938968036</v>
      </c>
      <c r="H22" s="20">
        <v>49.227967800912211</v>
      </c>
      <c r="I22" s="20">
        <v>57.096496725533449</v>
      </c>
      <c r="J22" s="20">
        <v>52.558287278957373</v>
      </c>
      <c r="K22" s="20">
        <v>61.036846198280287</v>
      </c>
      <c r="L22" s="20">
        <v>72.035262946709125</v>
      </c>
      <c r="M22" s="20">
        <v>72.798596287412451</v>
      </c>
      <c r="N22" s="20">
        <v>105.6163376757647</v>
      </c>
      <c r="O22" s="20">
        <v>163.45417524562495</v>
      </c>
      <c r="P22" s="20">
        <v>207.43702620766518</v>
      </c>
      <c r="Q22" s="20">
        <v>211.99007996760807</v>
      </c>
      <c r="R22" s="20">
        <v>207.03920018722505</v>
      </c>
      <c r="S22" s="20">
        <v>236.51556028123437</v>
      </c>
      <c r="T22" s="20">
        <v>235.70973981554963</v>
      </c>
      <c r="U22" s="20">
        <v>250.86452507673926</v>
      </c>
      <c r="V22" s="20">
        <v>216.4567841124059</v>
      </c>
      <c r="W22" s="20">
        <v>229.22625327323198</v>
      </c>
      <c r="X22" s="20">
        <v>258.55026916631471</v>
      </c>
      <c r="Y22" s="20">
        <v>261.61382169873531</v>
      </c>
    </row>
    <row r="23" spans="2:25" ht="32.1" customHeight="1" thickBot="1" x14ac:dyDescent="0.3">
      <c r="B23" s="3" t="s">
        <v>40</v>
      </c>
      <c r="C23" s="9">
        <v>2003</v>
      </c>
      <c r="D23" s="9">
        <v>2004</v>
      </c>
      <c r="E23" s="9">
        <v>2005</v>
      </c>
      <c r="F23" s="9">
        <v>2006</v>
      </c>
      <c r="G23" s="9">
        <v>2007</v>
      </c>
      <c r="H23" s="9">
        <v>2008</v>
      </c>
      <c r="I23" s="9">
        <v>2009</v>
      </c>
      <c r="J23" s="9">
        <v>2010</v>
      </c>
      <c r="K23" s="9">
        <v>2011</v>
      </c>
      <c r="L23" s="9">
        <v>2012</v>
      </c>
      <c r="M23" s="9">
        <v>2013</v>
      </c>
      <c r="N23" s="9">
        <v>2014</v>
      </c>
      <c r="O23" s="9">
        <v>2015</v>
      </c>
      <c r="P23" s="9">
        <v>2016</v>
      </c>
      <c r="Q23" s="9">
        <v>2017</v>
      </c>
      <c r="R23" s="9">
        <v>2018</v>
      </c>
      <c r="S23" s="9">
        <v>2019</v>
      </c>
      <c r="T23" s="9">
        <v>2020</v>
      </c>
      <c r="U23" s="9">
        <v>2021</v>
      </c>
      <c r="V23" s="28">
        <v>2022</v>
      </c>
      <c r="W23" s="28">
        <v>2023</v>
      </c>
      <c r="X23" s="28">
        <v>2024</v>
      </c>
      <c r="Y23" s="28">
        <v>2025</v>
      </c>
    </row>
    <row r="24" spans="2:25" ht="16.5" thickTop="1" thickBot="1" x14ac:dyDescent="0.3">
      <c r="B24" s="6" t="s">
        <v>41</v>
      </c>
      <c r="C24" s="20">
        <v>3.6197645929224533</v>
      </c>
      <c r="D24" s="20">
        <v>5.7540901444502417</v>
      </c>
      <c r="E24" s="20">
        <v>8.17337773929939</v>
      </c>
      <c r="F24" s="20">
        <v>11.389579438297149</v>
      </c>
      <c r="G24" s="20">
        <v>10.703578619379009</v>
      </c>
      <c r="H24" s="20">
        <v>12.22932702975473</v>
      </c>
      <c r="I24" s="20">
        <v>11.465620451731686</v>
      </c>
      <c r="J24" s="20">
        <v>7.6917332943310353</v>
      </c>
      <c r="K24" s="20">
        <v>4.2735219225390031</v>
      </c>
      <c r="L24" s="20">
        <v>10.024094492167839</v>
      </c>
      <c r="M24" s="20">
        <v>10.064940767394399</v>
      </c>
      <c r="N24" s="20">
        <v>5.4637410143153939</v>
      </c>
      <c r="O24" s="20">
        <v>6.892099645769397</v>
      </c>
      <c r="P24" s="20">
        <v>10.894698616591084</v>
      </c>
      <c r="Q24" s="20">
        <v>10.181529844451193</v>
      </c>
      <c r="R24" s="20">
        <v>10.15365295071164</v>
      </c>
      <c r="S24" s="20">
        <v>8.9086857879932513</v>
      </c>
      <c r="T24" s="20">
        <v>7.9141446284132471</v>
      </c>
      <c r="U24" s="20">
        <v>6.5674619295070125</v>
      </c>
      <c r="V24" s="20">
        <v>4.8447468721417666</v>
      </c>
      <c r="W24" s="20">
        <v>5.925122378816905</v>
      </c>
      <c r="X24" s="20">
        <v>4.8276350862102539</v>
      </c>
      <c r="Y24" s="20">
        <v>4.7307423541214337</v>
      </c>
    </row>
    <row r="25" spans="2:25" s="1" customFormat="1" ht="15" customHeight="1" x14ac:dyDescent="0.25">
      <c r="B25" s="49" t="s">
        <v>98</v>
      </c>
      <c r="C25" s="49"/>
      <c r="D25" s="49"/>
      <c r="E25" s="49"/>
      <c r="F25"/>
      <c r="G25" s="52"/>
      <c r="H25" s="48"/>
      <c r="I25" s="48"/>
      <c r="J25" s="48"/>
      <c r="K25" s="48"/>
      <c r="L25" s="48"/>
      <c r="M25" s="48"/>
      <c r="N25" s="48"/>
      <c r="O25" s="48"/>
      <c r="P25" s="48"/>
      <c r="Q25" s="48"/>
      <c r="R25" s="48"/>
      <c r="S25" s="48"/>
      <c r="T25" s="48"/>
      <c r="U25" s="22"/>
      <c r="V25" s="22"/>
    </row>
    <row r="26" spans="2:25" s="1" customFormat="1" x14ac:dyDescent="0.25">
      <c r="B26" s="44"/>
      <c r="C26" s="44"/>
      <c r="D26" s="44"/>
      <c r="E26" s="44"/>
      <c r="F26"/>
      <c r="G26" s="48"/>
      <c r="H26" s="48"/>
      <c r="I26" s="48"/>
      <c r="J26" s="48"/>
      <c r="K26" s="48"/>
      <c r="L26" s="48"/>
      <c r="M26" s="48"/>
      <c r="N26" s="48"/>
      <c r="O26" s="48"/>
      <c r="P26" s="48"/>
      <c r="Q26" s="48"/>
      <c r="R26" s="48"/>
      <c r="S26" s="48"/>
      <c r="T26" s="48"/>
      <c r="U26" s="22"/>
      <c r="V26" s="22"/>
    </row>
    <row r="27" spans="2:25" s="1" customFormat="1" x14ac:dyDescent="0.25">
      <c r="B27" s="26"/>
      <c r="C27" s="26"/>
      <c r="D27"/>
      <c r="E27"/>
      <c r="F27"/>
      <c r="G27" s="48"/>
      <c r="H27" s="48"/>
      <c r="I27" s="48"/>
      <c r="J27" s="48"/>
      <c r="K27" s="48"/>
      <c r="L27" s="48"/>
      <c r="M27" s="48"/>
      <c r="N27" s="48"/>
      <c r="O27" s="48"/>
      <c r="P27" s="48"/>
      <c r="Q27" s="48"/>
      <c r="R27" s="48"/>
      <c r="S27" s="48"/>
      <c r="T27" s="48"/>
      <c r="U27" s="22"/>
      <c r="V27" s="22"/>
    </row>
    <row r="28" spans="2:25" s="1" customFormat="1" ht="15" customHeight="1" x14ac:dyDescent="0.25">
      <c r="B28" s="26"/>
      <c r="C28" s="26"/>
      <c r="D28"/>
      <c r="E28"/>
      <c r="F28"/>
      <c r="G28" s="48"/>
      <c r="H28" s="48"/>
      <c r="I28" s="48"/>
      <c r="J28" s="48"/>
      <c r="K28" s="48"/>
      <c r="L28" s="48"/>
      <c r="M28" s="48"/>
      <c r="N28" s="48"/>
      <c r="O28" s="48"/>
      <c r="P28" s="48"/>
      <c r="Q28" s="48"/>
      <c r="R28" s="48"/>
      <c r="S28" s="48"/>
      <c r="T28" s="48"/>
      <c r="U28" s="22"/>
      <c r="V28" s="22"/>
    </row>
    <row r="29" spans="2:25" s="1" customFormat="1" ht="15" customHeight="1" x14ac:dyDescent="0.25">
      <c r="B29" s="26"/>
      <c r="C29" s="26"/>
      <c r="D29"/>
      <c r="E29"/>
      <c r="F29"/>
      <c r="G29" s="48"/>
      <c r="H29" s="48"/>
      <c r="I29" s="48"/>
      <c r="J29" s="48"/>
      <c r="K29" s="48"/>
      <c r="L29" s="48"/>
      <c r="M29" s="48"/>
      <c r="N29" s="48"/>
      <c r="O29" s="48"/>
      <c r="P29" s="48"/>
      <c r="Q29" s="48"/>
      <c r="R29" s="48"/>
      <c r="S29" s="48"/>
      <c r="T29" s="48"/>
      <c r="U29" s="22"/>
      <c r="V29" s="22"/>
    </row>
    <row r="30" spans="2:25" x14ac:dyDescent="0.25">
      <c r="C30">
        <v>2003</v>
      </c>
      <c r="D30">
        <v>2004</v>
      </c>
      <c r="E30">
        <v>2005</v>
      </c>
      <c r="F30">
        <v>2006</v>
      </c>
      <c r="G30">
        <v>2007</v>
      </c>
      <c r="H30">
        <v>2008</v>
      </c>
      <c r="I30">
        <v>2009</v>
      </c>
      <c r="J30">
        <v>2010</v>
      </c>
      <c r="K30">
        <v>2011</v>
      </c>
      <c r="L30">
        <v>2012</v>
      </c>
      <c r="M30">
        <v>2013</v>
      </c>
      <c r="N30">
        <v>2014</v>
      </c>
      <c r="O30">
        <v>2015</v>
      </c>
      <c r="P30">
        <v>2016</v>
      </c>
      <c r="Q30">
        <v>2017</v>
      </c>
      <c r="R30">
        <v>2018</v>
      </c>
      <c r="S30">
        <v>2019</v>
      </c>
      <c r="T30">
        <v>2020</v>
      </c>
      <c r="U30">
        <v>2021</v>
      </c>
      <c r="V30">
        <v>2022</v>
      </c>
      <c r="W30" s="1">
        <v>2023</v>
      </c>
      <c r="X30" s="1">
        <v>2024</v>
      </c>
      <c r="Y30" s="1">
        <v>2025</v>
      </c>
    </row>
    <row r="31" spans="2:25" ht="15" customHeight="1" x14ac:dyDescent="0.25"/>
    <row r="32" spans="2:25" ht="15" customHeight="1" x14ac:dyDescent="0.25"/>
    <row r="34" spans="2:2" x14ac:dyDescent="0.25">
      <c r="B34" t="s">
        <v>65</v>
      </c>
    </row>
    <row r="50" spans="2:2" x14ac:dyDescent="0.25">
      <c r="B50" t="s">
        <v>99</v>
      </c>
    </row>
    <row r="103" spans="7:8" x14ac:dyDescent="0.25">
      <c r="G103">
        <v>87</v>
      </c>
      <c r="H103">
        <v>195</v>
      </c>
    </row>
  </sheetData>
  <protectedRanges>
    <protectedRange sqref="G25:T29" name="Rango1"/>
    <protectedRange sqref="B7:B11" name="Rango1_1"/>
  </protectedRanges>
  <mergeCells count="6">
    <mergeCell ref="B1:U1"/>
    <mergeCell ref="B2:U2"/>
    <mergeCell ref="B3:U3"/>
    <mergeCell ref="B4:U4"/>
    <mergeCell ref="B25:E26"/>
    <mergeCell ref="G25:T29"/>
  </mergeCells>
  <printOptions horizontalCentered="1" verticalCentered="1"/>
  <pageMargins left="0" right="0" top="0" bottom="0" header="0" footer="0"/>
  <pageSetup scale="37" fitToWidth="2" fitToHeight="2" orientation="landscape" r:id="rId1"/>
  <rowBreaks count="1" manualBreakCount="1">
    <brk id="29" max="22"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A97BA-E58D-4609-ACE5-7B875E362C63}">
  <dimension ref="A1:AL37"/>
  <sheetViews>
    <sheetView view="pageBreakPreview" zoomScale="70" zoomScaleNormal="100" zoomScaleSheetLayoutView="70" workbookViewId="0">
      <selection sqref="A1:N1"/>
    </sheetView>
  </sheetViews>
  <sheetFormatPr baseColWidth="10" defaultRowHeight="15" x14ac:dyDescent="0.25"/>
  <cols>
    <col min="1" max="1" width="5.7109375" customWidth="1"/>
    <col min="14" max="14" width="5.7109375" customWidth="1"/>
  </cols>
  <sheetData>
    <row r="1" spans="1:38" ht="17.25" x14ac:dyDescent="0.3">
      <c r="A1" s="41" t="s">
        <v>0</v>
      </c>
      <c r="B1" s="41"/>
      <c r="C1" s="41"/>
      <c r="D1" s="41"/>
      <c r="E1" s="41"/>
      <c r="F1" s="41"/>
      <c r="G1" s="41"/>
      <c r="H1" s="41"/>
      <c r="I1" s="41"/>
      <c r="J1" s="41"/>
      <c r="K1" s="41"/>
      <c r="L1" s="41"/>
      <c r="M1" s="41"/>
      <c r="N1" s="41"/>
    </row>
    <row r="2" spans="1:38" ht="17.25" x14ac:dyDescent="0.3">
      <c r="A2" s="41" t="s">
        <v>1</v>
      </c>
      <c r="B2" s="41"/>
      <c r="C2" s="41"/>
      <c r="D2" s="41"/>
      <c r="E2" s="41"/>
      <c r="F2" s="41"/>
      <c r="G2" s="41"/>
      <c r="H2" s="41"/>
      <c r="I2" s="41"/>
      <c r="J2" s="41"/>
      <c r="K2" s="41"/>
      <c r="L2" s="41"/>
      <c r="M2" s="41"/>
      <c r="N2" s="32"/>
      <c r="O2" s="32"/>
      <c r="P2" s="32"/>
      <c r="Q2" s="32"/>
      <c r="R2" s="32"/>
      <c r="S2" s="32"/>
      <c r="T2" s="32"/>
      <c r="U2" s="32"/>
      <c r="V2" s="32"/>
      <c r="W2" s="32"/>
      <c r="X2" s="32"/>
    </row>
    <row r="3" spans="1:38" ht="17.25" x14ac:dyDescent="0.3">
      <c r="A3" s="54" t="s">
        <v>103</v>
      </c>
      <c r="B3" s="54"/>
      <c r="C3" s="54"/>
      <c r="D3" s="54"/>
      <c r="E3" s="54"/>
      <c r="F3" s="54"/>
      <c r="G3" s="54"/>
      <c r="H3" s="54"/>
      <c r="I3" s="54"/>
      <c r="J3" s="54"/>
      <c r="K3" s="54"/>
      <c r="L3" s="54"/>
      <c r="M3" s="54"/>
      <c r="N3" s="54"/>
    </row>
    <row r="4" spans="1:38" ht="17.25" x14ac:dyDescent="0.3">
      <c r="A4" s="55" t="s">
        <v>104</v>
      </c>
      <c r="B4" s="55"/>
      <c r="C4" s="55"/>
      <c r="D4" s="55"/>
      <c r="E4" s="54"/>
      <c r="F4" s="54"/>
      <c r="G4" s="54"/>
      <c r="H4" s="54"/>
      <c r="I4" s="54"/>
      <c r="J4" s="54"/>
      <c r="K4" s="54"/>
      <c r="L4" s="54"/>
      <c r="M4" s="54"/>
      <c r="N4" s="54"/>
    </row>
    <row r="5" spans="1:38" ht="17.25" x14ac:dyDescent="0.3">
      <c r="A5" s="33"/>
      <c r="B5" s="33"/>
      <c r="C5" s="33"/>
      <c r="D5" s="33"/>
      <c r="E5" s="33"/>
      <c r="F5" s="33"/>
      <c r="G5" s="33"/>
      <c r="H5" s="33"/>
    </row>
    <row r="6" spans="1:38" ht="17.25" customHeight="1" x14ac:dyDescent="0.3">
      <c r="A6" s="34"/>
      <c r="B6" s="56" t="s">
        <v>105</v>
      </c>
      <c r="C6" s="56"/>
      <c r="D6" s="56"/>
      <c r="E6" s="56"/>
      <c r="F6" s="56"/>
      <c r="G6" s="56"/>
      <c r="H6" s="56"/>
      <c r="I6" s="56"/>
      <c r="J6" s="56"/>
      <c r="K6" s="56"/>
      <c r="L6" s="56"/>
      <c r="M6" s="56"/>
      <c r="N6" s="35"/>
      <c r="Q6" s="41"/>
      <c r="R6" s="41"/>
      <c r="S6" s="41"/>
      <c r="T6" s="41"/>
      <c r="U6" s="41"/>
      <c r="V6" s="41"/>
      <c r="W6" s="41"/>
      <c r="X6" s="41"/>
      <c r="Y6" s="41"/>
      <c r="Z6" s="41"/>
      <c r="AA6" s="41"/>
      <c r="AB6" s="41"/>
      <c r="AC6" s="41"/>
      <c r="AD6" s="41"/>
      <c r="AE6" s="41"/>
      <c r="AF6" s="41"/>
      <c r="AG6" s="41"/>
      <c r="AH6" s="41"/>
      <c r="AI6" s="41"/>
      <c r="AJ6" s="41"/>
      <c r="AK6" s="41"/>
      <c r="AL6" s="41"/>
    </row>
    <row r="7" spans="1:38" x14ac:dyDescent="0.25">
      <c r="A7" s="36"/>
      <c r="B7" s="56"/>
      <c r="C7" s="56"/>
      <c r="D7" s="56"/>
      <c r="E7" s="56"/>
      <c r="F7" s="56"/>
      <c r="G7" s="56"/>
      <c r="H7" s="56"/>
      <c r="I7" s="56"/>
      <c r="J7" s="56"/>
      <c r="K7" s="56"/>
      <c r="L7" s="56"/>
      <c r="M7" s="56"/>
      <c r="N7" s="37"/>
    </row>
    <row r="8" spans="1:38" x14ac:dyDescent="0.25">
      <c r="A8" s="36"/>
      <c r="B8" s="56"/>
      <c r="C8" s="56"/>
      <c r="D8" s="56"/>
      <c r="E8" s="56"/>
      <c r="F8" s="56"/>
      <c r="G8" s="56"/>
      <c r="H8" s="56"/>
      <c r="I8" s="56"/>
      <c r="J8" s="56"/>
      <c r="K8" s="56"/>
      <c r="L8" s="56"/>
      <c r="M8" s="56"/>
      <c r="N8" s="37"/>
    </row>
    <row r="9" spans="1:38" x14ac:dyDescent="0.25">
      <c r="A9" s="36"/>
      <c r="B9" s="56"/>
      <c r="C9" s="56"/>
      <c r="D9" s="56"/>
      <c r="E9" s="56"/>
      <c r="F9" s="56"/>
      <c r="G9" s="56"/>
      <c r="H9" s="56"/>
      <c r="I9" s="56"/>
      <c r="J9" s="56"/>
      <c r="K9" s="56"/>
      <c r="L9" s="56"/>
      <c r="M9" s="56"/>
      <c r="N9" s="37"/>
    </row>
    <row r="10" spans="1:38" x14ac:dyDescent="0.25">
      <c r="A10" s="36"/>
      <c r="B10" s="56"/>
      <c r="C10" s="56"/>
      <c r="D10" s="56"/>
      <c r="E10" s="56"/>
      <c r="F10" s="56"/>
      <c r="G10" s="56"/>
      <c r="H10" s="56"/>
      <c r="I10" s="56"/>
      <c r="J10" s="56"/>
      <c r="K10" s="56"/>
      <c r="L10" s="56"/>
      <c r="M10" s="56"/>
      <c r="N10" s="37"/>
    </row>
    <row r="11" spans="1:38" x14ac:dyDescent="0.25">
      <c r="A11" s="36"/>
      <c r="B11" s="56"/>
      <c r="C11" s="56"/>
      <c r="D11" s="56"/>
      <c r="E11" s="56"/>
      <c r="F11" s="56"/>
      <c r="G11" s="56"/>
      <c r="H11" s="56"/>
      <c r="I11" s="56"/>
      <c r="J11" s="56"/>
      <c r="K11" s="56"/>
      <c r="L11" s="56"/>
      <c r="M11" s="56"/>
      <c r="N11" s="37"/>
    </row>
    <row r="12" spans="1:38" x14ac:dyDescent="0.25">
      <c r="A12" s="36"/>
      <c r="B12" s="56"/>
      <c r="C12" s="56"/>
      <c r="D12" s="56"/>
      <c r="E12" s="56"/>
      <c r="F12" s="56"/>
      <c r="G12" s="56"/>
      <c r="H12" s="56"/>
      <c r="I12" s="56"/>
      <c r="J12" s="56"/>
      <c r="K12" s="56"/>
      <c r="L12" s="56"/>
      <c r="M12" s="56"/>
      <c r="N12" s="37"/>
    </row>
    <row r="13" spans="1:38" x14ac:dyDescent="0.25">
      <c r="A13" s="36"/>
      <c r="B13" s="56"/>
      <c r="C13" s="56"/>
      <c r="D13" s="56"/>
      <c r="E13" s="56"/>
      <c r="F13" s="56"/>
      <c r="G13" s="56"/>
      <c r="H13" s="56"/>
      <c r="I13" s="56"/>
      <c r="J13" s="56"/>
      <c r="K13" s="56"/>
      <c r="L13" s="56"/>
      <c r="M13" s="56"/>
      <c r="N13" s="37"/>
    </row>
    <row r="14" spans="1:38" x14ac:dyDescent="0.25">
      <c r="A14" s="36"/>
      <c r="B14" s="56"/>
      <c r="C14" s="56"/>
      <c r="D14" s="56"/>
      <c r="E14" s="56"/>
      <c r="F14" s="56"/>
      <c r="G14" s="56"/>
      <c r="H14" s="56"/>
      <c r="I14" s="56"/>
      <c r="J14" s="56"/>
      <c r="K14" s="56"/>
      <c r="L14" s="56"/>
      <c r="M14" s="56"/>
      <c r="N14" s="37"/>
    </row>
    <row r="15" spans="1:38" x14ac:dyDescent="0.25">
      <c r="A15" s="36"/>
      <c r="B15" s="56"/>
      <c r="C15" s="56"/>
      <c r="D15" s="56"/>
      <c r="E15" s="56"/>
      <c r="F15" s="56"/>
      <c r="G15" s="56"/>
      <c r="H15" s="56"/>
      <c r="I15" s="56"/>
      <c r="J15" s="56"/>
      <c r="K15" s="56"/>
      <c r="L15" s="56"/>
      <c r="M15" s="56"/>
      <c r="N15" s="37"/>
    </row>
    <row r="16" spans="1:38" ht="15.75" x14ac:dyDescent="0.25">
      <c r="A16" s="36"/>
      <c r="B16" s="36"/>
      <c r="C16" s="36"/>
      <c r="D16" s="36"/>
      <c r="E16" s="38"/>
      <c r="F16" s="38"/>
      <c r="G16" s="38"/>
      <c r="H16" s="38"/>
      <c r="I16" s="38"/>
      <c r="J16" s="38"/>
      <c r="K16" s="38"/>
      <c r="L16" s="38"/>
      <c r="M16" s="38"/>
      <c r="N16" s="37"/>
    </row>
    <row r="17" spans="1:14" ht="15.75" customHeight="1" x14ac:dyDescent="0.25">
      <c r="A17" s="35"/>
      <c r="B17" s="53" t="s">
        <v>106</v>
      </c>
      <c r="C17" s="53"/>
      <c r="D17" s="53"/>
      <c r="E17" s="53"/>
      <c r="F17" s="53"/>
      <c r="G17" s="53"/>
      <c r="H17" s="53"/>
      <c r="I17" s="53"/>
      <c r="J17" s="53"/>
      <c r="K17" s="53"/>
      <c r="L17" s="53"/>
      <c r="M17" s="53"/>
      <c r="N17" s="35"/>
    </row>
    <row r="18" spans="1:14" ht="15" customHeight="1" x14ac:dyDescent="0.25">
      <c r="A18" s="36"/>
      <c r="B18" s="53"/>
      <c r="C18" s="53"/>
      <c r="D18" s="53"/>
      <c r="E18" s="53"/>
      <c r="F18" s="53"/>
      <c r="G18" s="53"/>
      <c r="H18" s="53"/>
      <c r="I18" s="53"/>
      <c r="J18" s="53"/>
      <c r="K18" s="53"/>
      <c r="L18" s="53"/>
      <c r="M18" s="53"/>
      <c r="N18" s="37"/>
    </row>
    <row r="19" spans="1:14" ht="15" customHeight="1" x14ac:dyDescent="0.25">
      <c r="A19" s="36"/>
      <c r="B19" s="53"/>
      <c r="C19" s="53"/>
      <c r="D19" s="53"/>
      <c r="E19" s="53"/>
      <c r="F19" s="53"/>
      <c r="G19" s="53"/>
      <c r="H19" s="53"/>
      <c r="I19" s="53"/>
      <c r="J19" s="53"/>
      <c r="K19" s="53"/>
      <c r="L19" s="53"/>
      <c r="M19" s="53"/>
      <c r="N19" s="37"/>
    </row>
    <row r="20" spans="1:14" x14ac:dyDescent="0.25">
      <c r="J20" s="39"/>
    </row>
    <row r="21" spans="1:14" x14ac:dyDescent="0.25">
      <c r="J21" s="39"/>
    </row>
    <row r="22" spans="1:14" x14ac:dyDescent="0.25">
      <c r="J22" s="39"/>
    </row>
    <row r="36" spans="2:2" ht="17.25" x14ac:dyDescent="0.25">
      <c r="B36" t="s">
        <v>107</v>
      </c>
    </row>
    <row r="37" spans="2:2" ht="17.25" x14ac:dyDescent="0.25">
      <c r="B37" t="s">
        <v>108</v>
      </c>
    </row>
  </sheetData>
  <mergeCells count="7">
    <mergeCell ref="Q6:AL6"/>
    <mergeCell ref="B17:M19"/>
    <mergeCell ref="A1:N1"/>
    <mergeCell ref="A2:M2"/>
    <mergeCell ref="A3:N3"/>
    <mergeCell ref="A4:N4"/>
    <mergeCell ref="B6:M15"/>
  </mergeCells>
  <printOptions horizontalCentered="1" verticalCentered="1"/>
  <pageMargins left="0.39370078740157483" right="0.39370078740157483" top="0.74803149606299213" bottom="0.74803149606299213" header="0.19685039370078741" footer="0.19685039370078741"/>
  <pageSetup scale="84" orientation="landscape" r:id="rId1"/>
  <colBreaks count="1" manualBreakCount="1">
    <brk id="14"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03626-E609-44F3-B4EC-F11A21002A66}">
  <dimension ref="A1:AL51"/>
  <sheetViews>
    <sheetView view="pageBreakPreview" zoomScale="70" zoomScaleNormal="100" zoomScaleSheetLayoutView="70" workbookViewId="0">
      <selection sqref="A1:N1"/>
    </sheetView>
  </sheetViews>
  <sheetFormatPr baseColWidth="10" defaultRowHeight="15" x14ac:dyDescent="0.25"/>
  <cols>
    <col min="1" max="1" width="5.7109375" customWidth="1"/>
    <col min="14" max="14" width="5.7109375" customWidth="1"/>
  </cols>
  <sheetData>
    <row r="1" spans="1:38" ht="17.25" x14ac:dyDescent="0.3">
      <c r="A1" s="41" t="s">
        <v>0</v>
      </c>
      <c r="B1" s="41"/>
      <c r="C1" s="41"/>
      <c r="D1" s="41"/>
      <c r="E1" s="41"/>
      <c r="F1" s="41"/>
      <c r="G1" s="41"/>
      <c r="H1" s="41"/>
      <c r="I1" s="41"/>
      <c r="J1" s="41"/>
      <c r="K1" s="41"/>
      <c r="L1" s="41"/>
      <c r="M1" s="41"/>
      <c r="N1" s="41"/>
    </row>
    <row r="2" spans="1:38" ht="17.25" x14ac:dyDescent="0.3">
      <c r="A2" s="41" t="s">
        <v>1</v>
      </c>
      <c r="B2" s="41"/>
      <c r="C2" s="41"/>
      <c r="D2" s="41"/>
      <c r="E2" s="41"/>
      <c r="F2" s="41"/>
      <c r="G2" s="41"/>
      <c r="H2" s="41"/>
      <c r="I2" s="41"/>
      <c r="J2" s="41"/>
      <c r="K2" s="41"/>
      <c r="L2" s="41"/>
      <c r="M2" s="41"/>
      <c r="N2" s="32"/>
      <c r="O2" s="32"/>
      <c r="P2" s="32"/>
      <c r="Q2" s="32"/>
      <c r="R2" s="32"/>
      <c r="S2" s="32"/>
      <c r="T2" s="32"/>
      <c r="U2" s="32"/>
      <c r="V2" s="32"/>
      <c r="W2" s="32"/>
      <c r="X2" s="32"/>
    </row>
    <row r="3" spans="1:38" ht="17.25" x14ac:dyDescent="0.3">
      <c r="A3" s="54" t="s">
        <v>109</v>
      </c>
      <c r="B3" s="54"/>
      <c r="C3" s="54"/>
      <c r="D3" s="54"/>
      <c r="E3" s="54"/>
      <c r="F3" s="54"/>
      <c r="G3" s="54"/>
      <c r="H3" s="54"/>
      <c r="I3" s="54"/>
      <c r="J3" s="54"/>
      <c r="K3" s="54"/>
      <c r="L3" s="54"/>
      <c r="M3" s="54"/>
      <c r="N3" s="54"/>
    </row>
    <row r="4" spans="1:38" ht="17.25" x14ac:dyDescent="0.3">
      <c r="A4" s="54" t="s">
        <v>110</v>
      </c>
      <c r="B4" s="54"/>
      <c r="C4" s="54"/>
      <c r="D4" s="54"/>
      <c r="E4" s="54"/>
      <c r="F4" s="54"/>
      <c r="G4" s="54"/>
      <c r="H4" s="54"/>
      <c r="I4" s="54"/>
      <c r="J4" s="54"/>
      <c r="K4" s="54"/>
      <c r="L4" s="54"/>
      <c r="M4" s="54"/>
      <c r="N4" s="54"/>
    </row>
    <row r="5" spans="1:38" ht="17.25" customHeight="1" x14ac:dyDescent="0.3">
      <c r="A5" s="34"/>
      <c r="B5" s="56" t="s">
        <v>111</v>
      </c>
      <c r="C5" s="56"/>
      <c r="D5" s="56"/>
      <c r="E5" s="56"/>
      <c r="F5" s="56"/>
      <c r="G5" s="56"/>
      <c r="H5" s="56"/>
      <c r="I5" s="56"/>
      <c r="J5" s="56"/>
      <c r="K5" s="56"/>
      <c r="L5" s="56"/>
      <c r="M5" s="56"/>
      <c r="N5" s="35"/>
      <c r="Q5" s="41"/>
      <c r="R5" s="41"/>
      <c r="S5" s="41"/>
      <c r="T5" s="41"/>
      <c r="U5" s="41"/>
      <c r="V5" s="41"/>
      <c r="W5" s="41"/>
      <c r="X5" s="41"/>
      <c r="Y5" s="41"/>
      <c r="Z5" s="41"/>
      <c r="AA5" s="41"/>
      <c r="AB5" s="41"/>
      <c r="AC5" s="41"/>
      <c r="AD5" s="41"/>
      <c r="AE5" s="41"/>
      <c r="AF5" s="41"/>
      <c r="AG5" s="41"/>
      <c r="AH5" s="41"/>
      <c r="AI5" s="41"/>
      <c r="AJ5" s="41"/>
      <c r="AK5" s="41"/>
      <c r="AL5" s="41"/>
    </row>
    <row r="6" spans="1:38" x14ac:dyDescent="0.25">
      <c r="A6" s="36"/>
      <c r="B6" s="56"/>
      <c r="C6" s="56"/>
      <c r="D6" s="56"/>
      <c r="E6" s="56"/>
      <c r="F6" s="56"/>
      <c r="G6" s="56"/>
      <c r="H6" s="56"/>
      <c r="I6" s="56"/>
      <c r="J6" s="56"/>
      <c r="K6" s="56"/>
      <c r="L6" s="56"/>
      <c r="M6" s="56"/>
      <c r="N6" s="37"/>
    </row>
    <row r="7" spans="1:38" x14ac:dyDescent="0.25">
      <c r="A7" s="36"/>
      <c r="B7" s="56"/>
      <c r="C7" s="56"/>
      <c r="D7" s="56"/>
      <c r="E7" s="56"/>
      <c r="F7" s="56"/>
      <c r="G7" s="56"/>
      <c r="H7" s="56"/>
      <c r="I7" s="56"/>
      <c r="J7" s="56"/>
      <c r="K7" s="56"/>
      <c r="L7" s="56"/>
      <c r="M7" s="56"/>
      <c r="N7" s="37"/>
    </row>
    <row r="8" spans="1:38" x14ac:dyDescent="0.25">
      <c r="A8" s="36"/>
      <c r="B8" s="56"/>
      <c r="C8" s="56"/>
      <c r="D8" s="56"/>
      <c r="E8" s="56"/>
      <c r="F8" s="56"/>
      <c r="G8" s="56"/>
      <c r="H8" s="56"/>
      <c r="I8" s="56"/>
      <c r="J8" s="56"/>
      <c r="K8" s="56"/>
      <c r="L8" s="56"/>
      <c r="M8" s="56"/>
      <c r="N8" s="37"/>
    </row>
    <row r="9" spans="1:38" x14ac:dyDescent="0.25">
      <c r="A9" s="36"/>
      <c r="B9" s="56"/>
      <c r="C9" s="56"/>
      <c r="D9" s="56"/>
      <c r="E9" s="56"/>
      <c r="F9" s="56"/>
      <c r="G9" s="56"/>
      <c r="H9" s="56"/>
      <c r="I9" s="56"/>
      <c r="J9" s="56"/>
      <c r="K9" s="56"/>
      <c r="L9" s="56"/>
      <c r="M9" s="56"/>
      <c r="N9" s="37"/>
    </row>
    <row r="10" spans="1:38" x14ac:dyDescent="0.25">
      <c r="A10" s="36"/>
      <c r="B10" s="56"/>
      <c r="C10" s="56"/>
      <c r="D10" s="56"/>
      <c r="E10" s="56"/>
      <c r="F10" s="56"/>
      <c r="G10" s="56"/>
      <c r="H10" s="56"/>
      <c r="I10" s="56"/>
      <c r="J10" s="56"/>
      <c r="K10" s="56"/>
      <c r="L10" s="56"/>
      <c r="M10" s="56"/>
      <c r="N10" s="37"/>
    </row>
    <row r="11" spans="1:38" x14ac:dyDescent="0.25">
      <c r="A11" s="36"/>
      <c r="B11" s="56"/>
      <c r="C11" s="56"/>
      <c r="D11" s="56"/>
      <c r="E11" s="56"/>
      <c r="F11" s="56"/>
      <c r="G11" s="56"/>
      <c r="H11" s="56"/>
      <c r="I11" s="56"/>
      <c r="J11" s="56"/>
      <c r="K11" s="56"/>
      <c r="L11" s="56"/>
      <c r="M11" s="56"/>
      <c r="N11" s="37"/>
    </row>
    <row r="12" spans="1:38" x14ac:dyDescent="0.25">
      <c r="A12" s="36"/>
      <c r="B12" s="56"/>
      <c r="C12" s="56"/>
      <c r="D12" s="56"/>
      <c r="E12" s="56"/>
      <c r="F12" s="56"/>
      <c r="G12" s="56"/>
      <c r="H12" s="56"/>
      <c r="I12" s="56"/>
      <c r="J12" s="56"/>
      <c r="K12" s="56"/>
      <c r="L12" s="56"/>
      <c r="M12" s="56"/>
      <c r="N12" s="37"/>
    </row>
    <row r="13" spans="1:38" x14ac:dyDescent="0.25">
      <c r="A13" s="36"/>
      <c r="B13" s="56"/>
      <c r="C13" s="56"/>
      <c r="D13" s="56"/>
      <c r="E13" s="56"/>
      <c r="F13" s="56"/>
      <c r="G13" s="56"/>
      <c r="H13" s="56"/>
      <c r="I13" s="56"/>
      <c r="J13" s="56"/>
      <c r="K13" s="56"/>
      <c r="L13" s="56"/>
      <c r="M13" s="56"/>
      <c r="N13" s="37"/>
    </row>
    <row r="14" spans="1:38" x14ac:dyDescent="0.25">
      <c r="A14" s="36"/>
      <c r="B14" s="56"/>
      <c r="C14" s="56"/>
      <c r="D14" s="56"/>
      <c r="E14" s="56"/>
      <c r="F14" s="56"/>
      <c r="G14" s="56"/>
      <c r="H14" s="56"/>
      <c r="I14" s="56"/>
      <c r="J14" s="56"/>
      <c r="K14" s="56"/>
      <c r="L14" s="56"/>
      <c r="M14" s="56"/>
      <c r="N14" s="37"/>
    </row>
    <row r="15" spans="1:38" ht="15.75" customHeight="1" x14ac:dyDescent="0.25">
      <c r="A15" s="36"/>
      <c r="B15" s="56"/>
      <c r="C15" s="56"/>
      <c r="D15" s="56"/>
      <c r="E15" s="56"/>
      <c r="F15" s="56"/>
      <c r="G15" s="56"/>
      <c r="H15" s="56"/>
      <c r="I15" s="56"/>
      <c r="J15" s="56"/>
      <c r="K15" s="56"/>
      <c r="L15" s="56"/>
      <c r="M15" s="56"/>
      <c r="N15" s="37"/>
    </row>
    <row r="16" spans="1:38" ht="15.75" customHeight="1" x14ac:dyDescent="0.25">
      <c r="A16" s="35"/>
      <c r="B16" s="56"/>
      <c r="C16" s="56"/>
      <c r="D16" s="56"/>
      <c r="E16" s="56"/>
      <c r="F16" s="56"/>
      <c r="G16" s="56"/>
      <c r="H16" s="56"/>
      <c r="I16" s="56"/>
      <c r="J16" s="56"/>
      <c r="K16" s="56"/>
      <c r="L16" s="56"/>
      <c r="M16" s="56"/>
      <c r="N16" s="35"/>
    </row>
    <row r="17" spans="1:14" ht="15" customHeight="1" x14ac:dyDescent="0.25">
      <c r="A17" s="36"/>
      <c r="B17" s="56"/>
      <c r="C17" s="56"/>
      <c r="D17" s="56"/>
      <c r="E17" s="56"/>
      <c r="F17" s="56"/>
      <c r="G17" s="56"/>
      <c r="H17" s="56"/>
      <c r="I17" s="56"/>
      <c r="J17" s="56"/>
      <c r="K17" s="56"/>
      <c r="L17" s="56"/>
      <c r="M17" s="56"/>
      <c r="N17" s="37"/>
    </row>
    <row r="18" spans="1:14" ht="15" customHeight="1" x14ac:dyDescent="0.25">
      <c r="A18" s="36"/>
      <c r="B18" s="56"/>
      <c r="C18" s="56"/>
      <c r="D18" s="56"/>
      <c r="E18" s="56"/>
      <c r="F18" s="56"/>
      <c r="G18" s="56"/>
      <c r="H18" s="56"/>
      <c r="I18" s="56"/>
      <c r="J18" s="56"/>
      <c r="K18" s="56"/>
      <c r="L18" s="56"/>
      <c r="M18" s="56"/>
      <c r="N18" s="37"/>
    </row>
    <row r="19" spans="1:14" x14ac:dyDescent="0.25">
      <c r="B19" s="56"/>
      <c r="C19" s="56"/>
      <c r="D19" s="56"/>
      <c r="E19" s="56"/>
      <c r="F19" s="56"/>
      <c r="G19" s="56"/>
      <c r="H19" s="56"/>
      <c r="I19" s="56"/>
      <c r="J19" s="56"/>
      <c r="K19" s="56"/>
      <c r="L19" s="56"/>
      <c r="M19" s="56"/>
    </row>
    <row r="20" spans="1:14" x14ac:dyDescent="0.25">
      <c r="B20" s="56"/>
      <c r="C20" s="56"/>
      <c r="D20" s="56"/>
      <c r="E20" s="56"/>
      <c r="F20" s="56"/>
      <c r="G20" s="56"/>
      <c r="H20" s="56"/>
      <c r="I20" s="56"/>
      <c r="J20" s="56"/>
      <c r="K20" s="56"/>
      <c r="L20" s="56"/>
      <c r="M20" s="56"/>
    </row>
    <row r="21" spans="1:14" x14ac:dyDescent="0.25">
      <c r="B21" s="56"/>
      <c r="C21" s="56"/>
      <c r="D21" s="56"/>
      <c r="E21" s="56"/>
      <c r="F21" s="56"/>
      <c r="G21" s="56"/>
      <c r="H21" s="56"/>
      <c r="I21" s="56"/>
      <c r="J21" s="56"/>
      <c r="K21" s="56"/>
      <c r="L21" s="56"/>
      <c r="M21" s="56"/>
    </row>
    <row r="51" spans="2:2" x14ac:dyDescent="0.25">
      <c r="B51" t="s">
        <v>65</v>
      </c>
    </row>
  </sheetData>
  <mergeCells count="6">
    <mergeCell ref="Q5:AL5"/>
    <mergeCell ref="A1:N1"/>
    <mergeCell ref="A2:M2"/>
    <mergeCell ref="A3:N3"/>
    <mergeCell ref="A4:N4"/>
    <mergeCell ref="B5:M21"/>
  </mergeCells>
  <printOptions horizontalCentered="1" verticalCentered="1"/>
  <pageMargins left="0.39370078740157483" right="0.39370078740157483" top="0.74803149606299213" bottom="0.74803149606299213" header="0.19685039370078741" footer="0.19685039370078741"/>
  <pageSetup scale="84" orientation="landscape" r:id="rId1"/>
  <colBreaks count="1" manualBreakCount="1">
    <brk id="14" max="1048575"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90E6A-4752-4A72-8CD0-7D19354ADED3}">
  <dimension ref="A1:AL35"/>
  <sheetViews>
    <sheetView view="pageBreakPreview" zoomScaleNormal="100" zoomScaleSheetLayoutView="100" workbookViewId="0">
      <selection sqref="A1:N1"/>
    </sheetView>
  </sheetViews>
  <sheetFormatPr baseColWidth="10" defaultRowHeight="15" x14ac:dyDescent="0.25"/>
  <cols>
    <col min="1" max="1" width="5.7109375" customWidth="1"/>
    <col min="14" max="14" width="5.7109375" customWidth="1"/>
  </cols>
  <sheetData>
    <row r="1" spans="1:38" ht="17.25" x14ac:dyDescent="0.3">
      <c r="A1" s="41" t="s">
        <v>0</v>
      </c>
      <c r="B1" s="41"/>
      <c r="C1" s="41"/>
      <c r="D1" s="41"/>
      <c r="E1" s="41"/>
      <c r="F1" s="41"/>
      <c r="G1" s="41"/>
      <c r="H1" s="41"/>
      <c r="I1" s="41"/>
      <c r="J1" s="41"/>
      <c r="K1" s="41"/>
      <c r="L1" s="41"/>
      <c r="M1" s="41"/>
      <c r="N1" s="41"/>
    </row>
    <row r="2" spans="1:38" ht="17.25" x14ac:dyDescent="0.3">
      <c r="A2" s="41" t="s">
        <v>1</v>
      </c>
      <c r="B2" s="41"/>
      <c r="C2" s="41"/>
      <c r="D2" s="41"/>
      <c r="E2" s="41"/>
      <c r="F2" s="41"/>
      <c r="G2" s="41"/>
      <c r="H2" s="41"/>
      <c r="I2" s="41"/>
      <c r="J2" s="41"/>
      <c r="K2" s="41"/>
      <c r="L2" s="41"/>
      <c r="M2" s="41"/>
      <c r="N2" s="32"/>
      <c r="O2" s="32"/>
      <c r="P2" s="32"/>
      <c r="Q2" s="32"/>
      <c r="R2" s="32"/>
      <c r="S2" s="32"/>
      <c r="T2" s="32"/>
      <c r="U2" s="32"/>
      <c r="V2" s="32"/>
      <c r="W2" s="32"/>
      <c r="X2" s="32"/>
    </row>
    <row r="3" spans="1:38" ht="17.25" customHeight="1" x14ac:dyDescent="0.25">
      <c r="A3" s="57" t="s">
        <v>112</v>
      </c>
      <c r="B3" s="57"/>
      <c r="C3" s="57"/>
      <c r="D3" s="57"/>
      <c r="E3" s="57"/>
      <c r="F3" s="57"/>
      <c r="G3" s="57"/>
      <c r="H3" s="57"/>
      <c r="I3" s="57"/>
      <c r="J3" s="57"/>
      <c r="K3" s="57"/>
      <c r="L3" s="57"/>
      <c r="M3" s="57"/>
      <c r="N3" s="57"/>
    </row>
    <row r="4" spans="1:38" ht="17.25" customHeight="1" x14ac:dyDescent="0.25">
      <c r="A4" s="57"/>
      <c r="B4" s="57"/>
      <c r="C4" s="57"/>
      <c r="D4" s="57"/>
      <c r="E4" s="57"/>
      <c r="F4" s="57"/>
      <c r="G4" s="57"/>
      <c r="H4" s="57"/>
      <c r="I4" s="57"/>
      <c r="J4" s="57"/>
      <c r="K4" s="57"/>
      <c r="L4" s="57"/>
      <c r="M4" s="57"/>
      <c r="N4" s="57"/>
    </row>
    <row r="5" spans="1:38" ht="17.25" customHeight="1" x14ac:dyDescent="0.3">
      <c r="A5" s="34"/>
      <c r="B5" s="56" t="s">
        <v>113</v>
      </c>
      <c r="C5" s="56"/>
      <c r="D5" s="56"/>
      <c r="E5" s="56"/>
      <c r="F5" s="56"/>
      <c r="G5" s="56"/>
      <c r="H5" s="56"/>
      <c r="I5" s="56"/>
      <c r="J5" s="56"/>
      <c r="K5" s="56"/>
      <c r="L5" s="56"/>
      <c r="M5" s="56"/>
      <c r="N5" s="35"/>
      <c r="Q5" s="41"/>
      <c r="R5" s="41"/>
      <c r="S5" s="41"/>
      <c r="T5" s="41"/>
      <c r="U5" s="41"/>
      <c r="V5" s="41"/>
      <c r="W5" s="41"/>
      <c r="X5" s="41"/>
      <c r="Y5" s="41"/>
      <c r="Z5" s="41"/>
      <c r="AA5" s="41"/>
      <c r="AB5" s="41"/>
      <c r="AC5" s="41"/>
      <c r="AD5" s="41"/>
      <c r="AE5" s="41"/>
      <c r="AF5" s="41"/>
      <c r="AG5" s="41"/>
      <c r="AH5" s="41"/>
      <c r="AI5" s="41"/>
      <c r="AJ5" s="41"/>
      <c r="AK5" s="41"/>
      <c r="AL5" s="41"/>
    </row>
    <row r="6" spans="1:38" x14ac:dyDescent="0.25">
      <c r="A6" s="36"/>
      <c r="B6" s="56"/>
      <c r="C6" s="56"/>
      <c r="D6" s="56"/>
      <c r="E6" s="56"/>
      <c r="F6" s="56"/>
      <c r="G6" s="56"/>
      <c r="H6" s="56"/>
      <c r="I6" s="56"/>
      <c r="J6" s="56"/>
      <c r="K6" s="56"/>
      <c r="L6" s="56"/>
      <c r="M6" s="56"/>
      <c r="N6" s="37"/>
    </row>
    <row r="7" spans="1:38" x14ac:dyDescent="0.25">
      <c r="A7" s="36"/>
      <c r="B7" s="56"/>
      <c r="C7" s="56"/>
      <c r="D7" s="56"/>
      <c r="E7" s="56"/>
      <c r="F7" s="56"/>
      <c r="G7" s="56"/>
      <c r="H7" s="56"/>
      <c r="I7" s="56"/>
      <c r="J7" s="56"/>
      <c r="K7" s="56"/>
      <c r="L7" s="56"/>
      <c r="M7" s="56"/>
      <c r="N7" s="37"/>
    </row>
    <row r="8" spans="1:38" x14ac:dyDescent="0.25">
      <c r="A8" s="36"/>
      <c r="B8" s="56"/>
      <c r="C8" s="56"/>
      <c r="D8" s="56"/>
      <c r="E8" s="56"/>
      <c r="F8" s="56"/>
      <c r="G8" s="56"/>
      <c r="H8" s="56"/>
      <c r="I8" s="56"/>
      <c r="J8" s="56"/>
      <c r="K8" s="56"/>
      <c r="L8" s="56"/>
      <c r="M8" s="56"/>
      <c r="N8" s="37"/>
    </row>
    <row r="9" spans="1:38" x14ac:dyDescent="0.25">
      <c r="A9" s="36"/>
      <c r="B9" s="56"/>
      <c r="C9" s="56"/>
      <c r="D9" s="56"/>
      <c r="E9" s="56"/>
      <c r="F9" s="56"/>
      <c r="G9" s="56"/>
      <c r="H9" s="56"/>
      <c r="I9" s="56"/>
      <c r="J9" s="56"/>
      <c r="K9" s="56"/>
      <c r="L9" s="56"/>
      <c r="M9" s="56"/>
      <c r="N9" s="37"/>
    </row>
    <row r="10" spans="1:38" x14ac:dyDescent="0.25">
      <c r="A10" s="36"/>
      <c r="B10" s="56"/>
      <c r="C10" s="56"/>
      <c r="D10" s="56"/>
      <c r="E10" s="56"/>
      <c r="F10" s="56"/>
      <c r="G10" s="56"/>
      <c r="H10" s="56"/>
      <c r="I10" s="56"/>
      <c r="J10" s="56"/>
      <c r="K10" s="56"/>
      <c r="L10" s="56"/>
      <c r="M10" s="56"/>
      <c r="N10" s="37"/>
    </row>
    <row r="11" spans="1:38" x14ac:dyDescent="0.25">
      <c r="A11" s="36"/>
      <c r="B11" s="56"/>
      <c r="C11" s="56"/>
      <c r="D11" s="56"/>
      <c r="E11" s="56"/>
      <c r="F11" s="56"/>
      <c r="G11" s="56"/>
      <c r="H11" s="56"/>
      <c r="I11" s="56"/>
      <c r="J11" s="56"/>
      <c r="K11" s="56"/>
      <c r="L11" s="56"/>
      <c r="M11" s="56"/>
      <c r="N11" s="37"/>
    </row>
    <row r="12" spans="1:38" x14ac:dyDescent="0.25">
      <c r="A12" s="36"/>
      <c r="B12" s="56"/>
      <c r="C12" s="56"/>
      <c r="D12" s="56"/>
      <c r="E12" s="56"/>
      <c r="F12" s="56"/>
      <c r="G12" s="56"/>
      <c r="H12" s="56"/>
      <c r="I12" s="56"/>
      <c r="J12" s="56"/>
      <c r="K12" s="56"/>
      <c r="L12" s="56"/>
      <c r="M12" s="56"/>
      <c r="N12" s="37"/>
    </row>
    <row r="13" spans="1:38" x14ac:dyDescent="0.25">
      <c r="A13" s="36"/>
      <c r="B13" s="56"/>
      <c r="C13" s="56"/>
      <c r="D13" s="56"/>
      <c r="E13" s="56"/>
      <c r="F13" s="56"/>
      <c r="G13" s="56"/>
      <c r="H13" s="56"/>
      <c r="I13" s="56"/>
      <c r="J13" s="56"/>
      <c r="K13" s="56"/>
      <c r="L13" s="56"/>
      <c r="M13" s="56"/>
      <c r="N13" s="37"/>
    </row>
    <row r="14" spans="1:38" x14ac:dyDescent="0.25">
      <c r="A14" s="36"/>
      <c r="B14" s="56"/>
      <c r="C14" s="56"/>
      <c r="D14" s="56"/>
      <c r="E14" s="56"/>
      <c r="F14" s="56"/>
      <c r="G14" s="56"/>
      <c r="H14" s="56"/>
      <c r="I14" s="56"/>
      <c r="J14" s="56"/>
      <c r="K14" s="56"/>
      <c r="L14" s="56"/>
      <c r="M14" s="56"/>
      <c r="N14" s="37"/>
    </row>
    <row r="15" spans="1:38" ht="15.75" customHeight="1" x14ac:dyDescent="0.25">
      <c r="A15" s="36"/>
      <c r="B15" s="56"/>
      <c r="C15" s="56"/>
      <c r="D15" s="56"/>
      <c r="E15" s="56"/>
      <c r="F15" s="56"/>
      <c r="G15" s="56"/>
      <c r="H15" s="56"/>
      <c r="I15" s="56"/>
      <c r="J15" s="56"/>
      <c r="K15" s="56"/>
      <c r="L15" s="56"/>
      <c r="M15" s="56"/>
      <c r="N15" s="37"/>
    </row>
    <row r="16" spans="1:38" ht="15.75" customHeight="1" x14ac:dyDescent="0.25">
      <c r="A16" s="35"/>
      <c r="B16" s="56"/>
      <c r="C16" s="56"/>
      <c r="D16" s="56"/>
      <c r="E16" s="56"/>
      <c r="F16" s="56"/>
      <c r="G16" s="56"/>
      <c r="H16" s="56"/>
      <c r="I16" s="56"/>
      <c r="J16" s="56"/>
      <c r="K16" s="56"/>
      <c r="L16" s="56"/>
      <c r="M16" s="56"/>
      <c r="N16" s="35"/>
    </row>
    <row r="17" spans="1:14" ht="15" customHeight="1" x14ac:dyDescent="0.25">
      <c r="A17" s="36"/>
      <c r="B17" s="56"/>
      <c r="C17" s="56"/>
      <c r="D17" s="56"/>
      <c r="E17" s="56"/>
      <c r="F17" s="56"/>
      <c r="G17" s="56"/>
      <c r="H17" s="56"/>
      <c r="I17" s="56"/>
      <c r="J17" s="56"/>
      <c r="K17" s="56"/>
      <c r="L17" s="56"/>
      <c r="M17" s="56"/>
      <c r="N17" s="37"/>
    </row>
    <row r="18" spans="1:14" ht="15" customHeight="1" x14ac:dyDescent="0.25">
      <c r="A18" s="36"/>
      <c r="B18" s="56"/>
      <c r="C18" s="56"/>
      <c r="D18" s="56"/>
      <c r="E18" s="56"/>
      <c r="F18" s="56"/>
      <c r="G18" s="56"/>
      <c r="H18" s="56"/>
      <c r="I18" s="56"/>
      <c r="J18" s="56"/>
      <c r="K18" s="56"/>
      <c r="L18" s="56"/>
      <c r="M18" s="56"/>
      <c r="N18" s="37"/>
    </row>
    <row r="19" spans="1:14" x14ac:dyDescent="0.25">
      <c r="B19" s="56"/>
      <c r="C19" s="56"/>
      <c r="D19" s="56"/>
      <c r="E19" s="56"/>
      <c r="F19" s="56"/>
      <c r="G19" s="56"/>
      <c r="H19" s="56"/>
      <c r="I19" s="56"/>
      <c r="J19" s="56"/>
      <c r="K19" s="56"/>
      <c r="L19" s="56"/>
      <c r="M19" s="56"/>
    </row>
    <row r="20" spans="1:14" x14ac:dyDescent="0.25">
      <c r="B20" s="56"/>
      <c r="C20" s="56"/>
      <c r="D20" s="56"/>
      <c r="E20" s="56"/>
      <c r="F20" s="56"/>
      <c r="G20" s="56"/>
      <c r="H20" s="56"/>
      <c r="I20" s="56"/>
      <c r="J20" s="56"/>
      <c r="K20" s="56"/>
      <c r="L20" s="56"/>
      <c r="M20" s="56"/>
    </row>
    <row r="21" spans="1:14" x14ac:dyDescent="0.25">
      <c r="B21" s="56"/>
      <c r="C21" s="56"/>
      <c r="D21" s="56"/>
      <c r="E21" s="56"/>
      <c r="F21" s="56"/>
      <c r="G21" s="56"/>
      <c r="H21" s="56"/>
      <c r="I21" s="56"/>
      <c r="J21" s="56"/>
      <c r="K21" s="56"/>
      <c r="L21" s="56"/>
      <c r="M21" s="56"/>
    </row>
    <row r="22" spans="1:14" x14ac:dyDescent="0.25">
      <c r="B22" s="56"/>
      <c r="C22" s="56"/>
      <c r="D22" s="56"/>
      <c r="E22" s="56"/>
      <c r="F22" s="56"/>
      <c r="G22" s="56"/>
      <c r="H22" s="56"/>
      <c r="I22" s="56"/>
      <c r="J22" s="56"/>
      <c r="K22" s="56"/>
      <c r="L22" s="56"/>
      <c r="M22" s="56"/>
    </row>
    <row r="23" spans="1:14" x14ac:dyDescent="0.25">
      <c r="B23" s="56"/>
      <c r="C23" s="56"/>
      <c r="D23" s="56"/>
      <c r="E23" s="56"/>
      <c r="F23" s="56"/>
      <c r="G23" s="56"/>
      <c r="H23" s="56"/>
      <c r="I23" s="56"/>
      <c r="J23" s="56"/>
      <c r="K23" s="56"/>
      <c r="L23" s="56"/>
      <c r="M23" s="56"/>
    </row>
    <row r="24" spans="1:14" x14ac:dyDescent="0.25">
      <c r="B24" s="56"/>
      <c r="C24" s="56"/>
      <c r="D24" s="56"/>
      <c r="E24" s="56"/>
      <c r="F24" s="56"/>
      <c r="G24" s="56"/>
      <c r="H24" s="56"/>
      <c r="I24" s="56"/>
      <c r="J24" s="56"/>
      <c r="K24" s="56"/>
      <c r="L24" s="56"/>
      <c r="M24" s="56"/>
    </row>
    <row r="25" spans="1:14" x14ac:dyDescent="0.25">
      <c r="B25" s="56"/>
      <c r="C25" s="56"/>
      <c r="D25" s="56"/>
      <c r="E25" s="56"/>
      <c r="F25" s="56"/>
      <c r="G25" s="56"/>
      <c r="H25" s="56"/>
      <c r="I25" s="56"/>
      <c r="J25" s="56"/>
      <c r="K25" s="56"/>
      <c r="L25" s="56"/>
      <c r="M25" s="56"/>
    </row>
    <row r="26" spans="1:14" x14ac:dyDescent="0.25">
      <c r="B26" s="56"/>
      <c r="C26" s="56"/>
      <c r="D26" s="56"/>
      <c r="E26" s="56"/>
      <c r="F26" s="56"/>
      <c r="G26" s="56"/>
      <c r="H26" s="56"/>
      <c r="I26" s="56"/>
      <c r="J26" s="56"/>
      <c r="K26" s="56"/>
      <c r="L26" s="56"/>
      <c r="M26" s="56"/>
    </row>
    <row r="27" spans="1:14" x14ac:dyDescent="0.25">
      <c r="B27" s="56"/>
      <c r="C27" s="56"/>
      <c r="D27" s="56"/>
      <c r="E27" s="56"/>
      <c r="F27" s="56"/>
      <c r="G27" s="56"/>
      <c r="H27" s="56"/>
      <c r="I27" s="56"/>
      <c r="J27" s="56"/>
      <c r="K27" s="56"/>
      <c r="L27" s="56"/>
      <c r="M27" s="56"/>
    </row>
    <row r="28" spans="1:14" x14ac:dyDescent="0.25">
      <c r="B28" s="56"/>
      <c r="C28" s="56"/>
      <c r="D28" s="56"/>
      <c r="E28" s="56"/>
      <c r="F28" s="56"/>
      <c r="G28" s="56"/>
      <c r="H28" s="56"/>
      <c r="I28" s="56"/>
      <c r="J28" s="56"/>
      <c r="K28" s="56"/>
      <c r="L28" s="56"/>
      <c r="M28" s="56"/>
    </row>
    <row r="29" spans="1:14" x14ac:dyDescent="0.25">
      <c r="B29" s="56"/>
      <c r="C29" s="56"/>
      <c r="D29" s="56"/>
      <c r="E29" s="56"/>
      <c r="F29" s="56"/>
      <c r="G29" s="56"/>
      <c r="H29" s="56"/>
      <c r="I29" s="56"/>
      <c r="J29" s="56"/>
      <c r="K29" s="56"/>
      <c r="L29" s="56"/>
      <c r="M29" s="56"/>
    </row>
    <row r="30" spans="1:14" x14ac:dyDescent="0.25">
      <c r="B30" s="56"/>
      <c r="C30" s="56"/>
      <c r="D30" s="56"/>
      <c r="E30" s="56"/>
      <c r="F30" s="56"/>
      <c r="G30" s="56"/>
      <c r="H30" s="56"/>
      <c r="I30" s="56"/>
      <c r="J30" s="56"/>
      <c r="K30" s="56"/>
      <c r="L30" s="56"/>
      <c r="M30" s="56"/>
    </row>
    <row r="31" spans="1:14" x14ac:dyDescent="0.25">
      <c r="B31" s="56"/>
      <c r="C31" s="56"/>
      <c r="D31" s="56"/>
      <c r="E31" s="56"/>
      <c r="F31" s="56"/>
      <c r="G31" s="56"/>
      <c r="H31" s="56"/>
      <c r="I31" s="56"/>
      <c r="J31" s="56"/>
      <c r="K31" s="56"/>
      <c r="L31" s="56"/>
      <c r="M31" s="56"/>
    </row>
    <row r="32" spans="1:14" x14ac:dyDescent="0.25">
      <c r="B32" s="56"/>
      <c r="C32" s="56"/>
      <c r="D32" s="56"/>
      <c r="E32" s="56"/>
      <c r="F32" s="56"/>
      <c r="G32" s="56"/>
      <c r="H32" s="56"/>
      <c r="I32" s="56"/>
      <c r="J32" s="56"/>
      <c r="K32" s="56"/>
      <c r="L32" s="56"/>
      <c r="M32" s="56"/>
    </row>
    <row r="33" spans="2:13" x14ac:dyDescent="0.25">
      <c r="B33" s="56"/>
      <c r="C33" s="56"/>
      <c r="D33" s="56"/>
      <c r="E33" s="56"/>
      <c r="F33" s="56"/>
      <c r="G33" s="56"/>
      <c r="H33" s="56"/>
      <c r="I33" s="56"/>
      <c r="J33" s="56"/>
      <c r="K33" s="56"/>
      <c r="L33" s="56"/>
      <c r="M33" s="56"/>
    </row>
    <row r="34" spans="2:13" x14ac:dyDescent="0.25">
      <c r="B34" s="56"/>
      <c r="C34" s="56"/>
      <c r="D34" s="56"/>
      <c r="E34" s="56"/>
      <c r="F34" s="56"/>
      <c r="G34" s="56"/>
      <c r="H34" s="56"/>
      <c r="I34" s="56"/>
      <c r="J34" s="56"/>
      <c r="K34" s="56"/>
      <c r="L34" s="56"/>
      <c r="M34" s="56"/>
    </row>
    <row r="35" spans="2:13" x14ac:dyDescent="0.25">
      <c r="B35" s="56"/>
      <c r="C35" s="56"/>
      <c r="D35" s="56"/>
      <c r="E35" s="56"/>
      <c r="F35" s="56"/>
      <c r="G35" s="56"/>
      <c r="H35" s="56"/>
      <c r="I35" s="56"/>
      <c r="J35" s="56"/>
      <c r="K35" s="56"/>
      <c r="L35" s="56"/>
      <c r="M35" s="56"/>
    </row>
  </sheetData>
  <mergeCells count="5">
    <mergeCell ref="A1:N1"/>
    <mergeCell ref="A2:M2"/>
    <mergeCell ref="A3:N4"/>
    <mergeCell ref="B5:M35"/>
    <mergeCell ref="Q5:AL5"/>
  </mergeCells>
  <printOptions horizontalCentered="1" verticalCentered="1"/>
  <pageMargins left="0.39370078740157483" right="0.39370078740157483" top="0.74803149606299213" bottom="0.74803149606299213" header="0.19685039370078741" footer="0.19685039370078741"/>
  <pageSetup scale="84" orientation="landscape" r:id="rId1"/>
  <colBreaks count="1" manualBreakCount="1">
    <brk id="14"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19</vt:i4>
      </vt:variant>
    </vt:vector>
  </HeadingPairs>
  <TitlesOfParts>
    <vt:vector size="26" baseType="lpstr">
      <vt:lpstr>Año corrido</vt:lpstr>
      <vt:lpstr>Año corrido tasa</vt:lpstr>
      <vt:lpstr>Año completo</vt:lpstr>
      <vt:lpstr>Año completo tasa</vt:lpstr>
      <vt:lpstr>METODOLOGÍA A DENUNCIAR</vt:lpstr>
      <vt:lpstr>NUEVA METODOLOGIA FGN</vt:lpstr>
      <vt:lpstr>ACLARACIONES METODOLÓGICAS</vt:lpstr>
      <vt:lpstr>'ACLARACIONES METODOLÓGICAS'!Área_de_impresión</vt:lpstr>
      <vt:lpstr>'Año completo'!Área_de_impresión</vt:lpstr>
      <vt:lpstr>'Año completo tasa'!Área_de_impresión</vt:lpstr>
      <vt:lpstr>'Año corrido'!Área_de_impresión</vt:lpstr>
      <vt:lpstr>'Año corrido tasa'!Área_de_impresión</vt:lpstr>
      <vt:lpstr>'METODOLOGÍA A DENUNCIAR'!Área_de_impresión</vt:lpstr>
      <vt:lpstr>'NUEVA METODOLOGIA FGN'!Área_de_impresión</vt:lpstr>
      <vt:lpstr>'Año completo'!ert</vt:lpstr>
      <vt:lpstr>'Año completo tasa'!ert</vt:lpstr>
      <vt:lpstr>'Año corrido'!ert</vt:lpstr>
      <vt:lpstr>'Año corrido tasa'!ert</vt:lpstr>
      <vt:lpstr>'Año completo'!Print_Area</vt:lpstr>
      <vt:lpstr>'Año completo tasa'!Print_Area</vt:lpstr>
      <vt:lpstr>'Año corrido'!Print_Area</vt:lpstr>
      <vt:lpstr>'Año corrido tasa'!Print_Area</vt:lpstr>
      <vt:lpstr>'Año completo'!printr</vt:lpstr>
      <vt:lpstr>'Año completo tasa'!printr</vt:lpstr>
      <vt:lpstr>'Año corrido'!printr</vt:lpstr>
      <vt:lpstr>'Año corrido tasa'!printr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Esteban Dulce Rubio</dc:creator>
  <cp:lastModifiedBy>Harvey Alejandro Prada Novoa</cp:lastModifiedBy>
  <dcterms:created xsi:type="dcterms:W3CDTF">2026-08-14T21:36:25Z</dcterms:created>
  <dcterms:modified xsi:type="dcterms:W3CDTF">2026-09-16T14:31:48Z</dcterms:modified>
</cp:coreProperties>
</file>